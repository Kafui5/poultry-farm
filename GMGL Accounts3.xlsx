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uble2\3\"/>
    </mc:Choice>
  </mc:AlternateContent>
  <bookViews>
    <workbookView xWindow="0" yWindow="0" windowWidth="23040" windowHeight="9072" activeTab="5"/>
  </bookViews>
  <sheets>
    <sheet name="Control Panel" sheetId="1" r:id="rId1"/>
    <sheet name="Setup" sheetId="2" r:id="rId2"/>
    <sheet name="Chart of Accounts" sheetId="3" r:id="rId3"/>
    <sheet name="Purchases" sheetId="4" r:id="rId4"/>
    <sheet name="Sales Log" sheetId="5" r:id="rId5"/>
    <sheet name="Stock Summary" sheetId="6" r:id="rId6"/>
    <sheet name="Farm Costs" sheetId="7" r:id="rId7"/>
    <sheet name="Egg Transfers" sheetId="8" r:id="rId8"/>
    <sheet name="Shop Expenses" sheetId="9" r:id="rId9"/>
    <sheet name="Payroll" sheetId="10" r:id="rId10"/>
    <sheet name="Cash &amp; Bank" sheetId="11" r:id="rId11"/>
    <sheet name="Feed Inventory" sheetId="12" r:id="rId12"/>
    <sheet name="Shop Profitability" sheetId="13" r:id="rId13"/>
    <sheet name="Monthly Summary" sheetId="14" r:id="rId14"/>
    <sheet name="Loans" sheetId="15" r:id="rId15"/>
    <sheet name="Income Statement" sheetId="16" r:id="rId16"/>
    <sheet name="Balance Sheet" sheetId="17" r:id="rId17"/>
    <sheet name="Daily Shop Sales" sheetId="18" r:id="rId18"/>
    <sheet name="Daily Valuation" sheetId="19" r:id="rId19"/>
    <sheet name="Growth Tracker" sheetId="20" r:id="rId20"/>
    <sheet name="Read Me" sheetId="21" r:id="rId21"/>
  </sheets>
  <calcPr calcId="162913"/>
</workbook>
</file>

<file path=xl/calcChain.xml><?xml version="1.0" encoding="utf-8"?>
<calcChain xmlns="http://schemas.openxmlformats.org/spreadsheetml/2006/main">
  <c r="F179" i="5" l="1"/>
  <c r="G178" i="5"/>
  <c r="G179" i="5"/>
  <c r="G180" i="5"/>
  <c r="G181" i="5"/>
  <c r="G160" i="5"/>
  <c r="G161" i="5"/>
  <c r="G162" i="5"/>
  <c r="G163" i="5"/>
  <c r="G164" i="5"/>
  <c r="G165" i="5"/>
  <c r="G166" i="5"/>
  <c r="D23" i="20" l="1"/>
  <c r="F23" i="20" s="1"/>
  <c r="K23" i="20" s="1"/>
  <c r="D22" i="20"/>
  <c r="F22" i="20" s="1"/>
  <c r="K22" i="20" s="1"/>
  <c r="D21" i="20"/>
  <c r="F21" i="20" s="1"/>
  <c r="K21" i="20" s="1"/>
  <c r="D20" i="20"/>
  <c r="F20" i="20" s="1"/>
  <c r="K20" i="20" s="1"/>
  <c r="D19" i="20"/>
  <c r="F19" i="20" s="1"/>
  <c r="K19" i="20" s="1"/>
  <c r="D18" i="20"/>
  <c r="F18" i="20" s="1"/>
  <c r="K18" i="20" s="1"/>
  <c r="D17" i="20"/>
  <c r="F17" i="20" s="1"/>
  <c r="K17" i="20" s="1"/>
  <c r="D16" i="20"/>
  <c r="F16" i="20" s="1"/>
  <c r="K16" i="20" s="1"/>
  <c r="D15" i="20"/>
  <c r="F15" i="20" s="1"/>
  <c r="K15" i="20" s="1"/>
  <c r="D14" i="20"/>
  <c r="F14" i="20" s="1"/>
  <c r="K14" i="20" s="1"/>
  <c r="D13" i="20"/>
  <c r="F13" i="20" s="1"/>
  <c r="K13" i="20" s="1"/>
  <c r="D12" i="20"/>
  <c r="F12" i="20" s="1"/>
  <c r="K12" i="20" s="1"/>
  <c r="D11" i="20"/>
  <c r="F11" i="20" s="1"/>
  <c r="K11" i="20" s="1"/>
  <c r="D10" i="20"/>
  <c r="F10" i="20" s="1"/>
  <c r="K10" i="20" s="1"/>
  <c r="D9" i="20"/>
  <c r="F9" i="20" s="1"/>
  <c r="K9" i="20" s="1"/>
  <c r="D8" i="20"/>
  <c r="F8" i="20" s="1"/>
  <c r="K8" i="20" s="1"/>
  <c r="D7" i="20"/>
  <c r="F7" i="20" s="1"/>
  <c r="K7" i="20" s="1"/>
  <c r="D6" i="20"/>
  <c r="F6" i="20" s="1"/>
  <c r="K6" i="20" s="1"/>
  <c r="D5" i="20"/>
  <c r="F5" i="20" s="1"/>
  <c r="K5" i="20" s="1"/>
  <c r="D4" i="20"/>
  <c r="F4" i="20" s="1"/>
  <c r="K4" i="20" s="1"/>
  <c r="D3" i="20"/>
  <c r="F3" i="20" s="1"/>
  <c r="K3" i="20" s="1"/>
  <c r="F367" i="18"/>
  <c r="E367" i="18"/>
  <c r="D367" i="18"/>
  <c r="C367" i="18"/>
  <c r="B367" i="18"/>
  <c r="F366" i="18"/>
  <c r="E366" i="18"/>
  <c r="D366" i="18"/>
  <c r="C366" i="18"/>
  <c r="B366" i="18"/>
  <c r="F365" i="18"/>
  <c r="E365" i="18"/>
  <c r="D365" i="18"/>
  <c r="C365" i="18"/>
  <c r="B365" i="18"/>
  <c r="F364" i="18"/>
  <c r="E364" i="18"/>
  <c r="D364" i="18"/>
  <c r="C364" i="18"/>
  <c r="B364" i="18"/>
  <c r="F363" i="18"/>
  <c r="E363" i="18"/>
  <c r="D363" i="18"/>
  <c r="C363" i="18"/>
  <c r="B363" i="18"/>
  <c r="F362" i="18"/>
  <c r="E362" i="18"/>
  <c r="D362" i="18"/>
  <c r="C362" i="18"/>
  <c r="B362" i="18"/>
  <c r="F361" i="18"/>
  <c r="E361" i="18"/>
  <c r="D361" i="18"/>
  <c r="C361" i="18"/>
  <c r="B361" i="18"/>
  <c r="F360" i="18"/>
  <c r="E360" i="18"/>
  <c r="D360" i="18"/>
  <c r="C360" i="18"/>
  <c r="B360" i="18"/>
  <c r="F359" i="18"/>
  <c r="E359" i="18"/>
  <c r="D359" i="18"/>
  <c r="C359" i="18"/>
  <c r="B359" i="18"/>
  <c r="F358" i="18"/>
  <c r="E358" i="18"/>
  <c r="D358" i="18"/>
  <c r="C358" i="18"/>
  <c r="B358" i="18"/>
  <c r="F357" i="18"/>
  <c r="E357" i="18"/>
  <c r="D357" i="18"/>
  <c r="C357" i="18"/>
  <c r="B357" i="18"/>
  <c r="F356" i="18"/>
  <c r="E356" i="18"/>
  <c r="D356" i="18"/>
  <c r="C356" i="18"/>
  <c r="B356" i="18"/>
  <c r="F355" i="18"/>
  <c r="E355" i="18"/>
  <c r="D355" i="18"/>
  <c r="C355" i="18"/>
  <c r="B355" i="18"/>
  <c r="F354" i="18"/>
  <c r="E354" i="18"/>
  <c r="D354" i="18"/>
  <c r="C354" i="18"/>
  <c r="B354" i="18"/>
  <c r="F353" i="18"/>
  <c r="E353" i="18"/>
  <c r="D353" i="18"/>
  <c r="C353" i="18"/>
  <c r="B353" i="18"/>
  <c r="F352" i="18"/>
  <c r="E352" i="18"/>
  <c r="D352" i="18"/>
  <c r="C352" i="18"/>
  <c r="B352" i="18"/>
  <c r="F351" i="18"/>
  <c r="E351" i="18"/>
  <c r="D351" i="18"/>
  <c r="C351" i="18"/>
  <c r="B351" i="18"/>
  <c r="F350" i="18"/>
  <c r="E350" i="18"/>
  <c r="D350" i="18"/>
  <c r="C350" i="18"/>
  <c r="B350" i="18"/>
  <c r="F349" i="18"/>
  <c r="E349" i="18"/>
  <c r="D349" i="18"/>
  <c r="C349" i="18"/>
  <c r="B349" i="18"/>
  <c r="F348" i="18"/>
  <c r="E348" i="18"/>
  <c r="D348" i="18"/>
  <c r="C348" i="18"/>
  <c r="B348" i="18"/>
  <c r="F347" i="18"/>
  <c r="E347" i="18"/>
  <c r="D347" i="18"/>
  <c r="C347" i="18"/>
  <c r="B347" i="18"/>
  <c r="F346" i="18"/>
  <c r="E346" i="18"/>
  <c r="D346" i="18"/>
  <c r="C346" i="18"/>
  <c r="B346" i="18"/>
  <c r="F345" i="18"/>
  <c r="E345" i="18"/>
  <c r="D345" i="18"/>
  <c r="C345" i="18"/>
  <c r="B345" i="18"/>
  <c r="F344" i="18"/>
  <c r="E344" i="18"/>
  <c r="D344" i="18"/>
  <c r="C344" i="18"/>
  <c r="B344" i="18"/>
  <c r="F343" i="18"/>
  <c r="E343" i="18"/>
  <c r="D343" i="18"/>
  <c r="C343" i="18"/>
  <c r="B343" i="18"/>
  <c r="F342" i="18"/>
  <c r="E342" i="18"/>
  <c r="D342" i="18"/>
  <c r="C342" i="18"/>
  <c r="B342" i="18"/>
  <c r="F341" i="18"/>
  <c r="E341" i="18"/>
  <c r="D341" i="18"/>
  <c r="C341" i="18"/>
  <c r="B341" i="18"/>
  <c r="F340" i="18"/>
  <c r="E340" i="18"/>
  <c r="D340" i="18"/>
  <c r="C340" i="18"/>
  <c r="B340" i="18"/>
  <c r="F339" i="18"/>
  <c r="E339" i="18"/>
  <c r="D339" i="18"/>
  <c r="C339" i="18"/>
  <c r="B339" i="18"/>
  <c r="F338" i="18"/>
  <c r="E338" i="18"/>
  <c r="D338" i="18"/>
  <c r="C338" i="18"/>
  <c r="B338" i="18"/>
  <c r="F337" i="18"/>
  <c r="E337" i="18"/>
  <c r="D337" i="18"/>
  <c r="C337" i="18"/>
  <c r="B337" i="18"/>
  <c r="F336" i="18"/>
  <c r="E336" i="18"/>
  <c r="D336" i="18"/>
  <c r="C336" i="18"/>
  <c r="B336" i="18"/>
  <c r="F335" i="18"/>
  <c r="E335" i="18"/>
  <c r="D335" i="18"/>
  <c r="C335" i="18"/>
  <c r="B335" i="18"/>
  <c r="F334" i="18"/>
  <c r="E334" i="18"/>
  <c r="D334" i="18"/>
  <c r="C334" i="18"/>
  <c r="B334" i="18"/>
  <c r="F333" i="18"/>
  <c r="E333" i="18"/>
  <c r="D333" i="18"/>
  <c r="C333" i="18"/>
  <c r="B333" i="18"/>
  <c r="F332" i="18"/>
  <c r="E332" i="18"/>
  <c r="D332" i="18"/>
  <c r="C332" i="18"/>
  <c r="B332" i="18"/>
  <c r="F331" i="18"/>
  <c r="E331" i="18"/>
  <c r="D331" i="18"/>
  <c r="C331" i="18"/>
  <c r="B331" i="18"/>
  <c r="F330" i="18"/>
  <c r="E330" i="18"/>
  <c r="D330" i="18"/>
  <c r="C330" i="18"/>
  <c r="B330" i="18"/>
  <c r="F329" i="18"/>
  <c r="E329" i="18"/>
  <c r="D329" i="18"/>
  <c r="C329" i="18"/>
  <c r="B329" i="18"/>
  <c r="F328" i="18"/>
  <c r="E328" i="18"/>
  <c r="D328" i="18"/>
  <c r="C328" i="18"/>
  <c r="B328" i="18"/>
  <c r="F327" i="18"/>
  <c r="E327" i="18"/>
  <c r="D327" i="18"/>
  <c r="C327" i="18"/>
  <c r="B327" i="18"/>
  <c r="F326" i="18"/>
  <c r="E326" i="18"/>
  <c r="D326" i="18"/>
  <c r="C326" i="18"/>
  <c r="B326" i="18"/>
  <c r="F325" i="18"/>
  <c r="E325" i="18"/>
  <c r="D325" i="18"/>
  <c r="C325" i="18"/>
  <c r="B325" i="18"/>
  <c r="F324" i="18"/>
  <c r="E324" i="18"/>
  <c r="D324" i="18"/>
  <c r="C324" i="18"/>
  <c r="B324" i="18"/>
  <c r="F323" i="18"/>
  <c r="E323" i="18"/>
  <c r="D323" i="18"/>
  <c r="C323" i="18"/>
  <c r="B323" i="18"/>
  <c r="F322" i="18"/>
  <c r="E322" i="18"/>
  <c r="D322" i="18"/>
  <c r="C322" i="18"/>
  <c r="B322" i="18"/>
  <c r="F321" i="18"/>
  <c r="E321" i="18"/>
  <c r="D321" i="18"/>
  <c r="C321" i="18"/>
  <c r="B321" i="18"/>
  <c r="F320" i="18"/>
  <c r="E320" i="18"/>
  <c r="D320" i="18"/>
  <c r="C320" i="18"/>
  <c r="B320" i="18"/>
  <c r="F319" i="18"/>
  <c r="E319" i="18"/>
  <c r="D319" i="18"/>
  <c r="C319" i="18"/>
  <c r="B319" i="18"/>
  <c r="F318" i="18"/>
  <c r="E318" i="18"/>
  <c r="D318" i="18"/>
  <c r="C318" i="18"/>
  <c r="B318" i="18"/>
  <c r="F317" i="18"/>
  <c r="E317" i="18"/>
  <c r="D317" i="18"/>
  <c r="C317" i="18"/>
  <c r="B317" i="18"/>
  <c r="F316" i="18"/>
  <c r="E316" i="18"/>
  <c r="D316" i="18"/>
  <c r="C316" i="18"/>
  <c r="B316" i="18"/>
  <c r="F315" i="18"/>
  <c r="E315" i="18"/>
  <c r="D315" i="18"/>
  <c r="C315" i="18"/>
  <c r="B315" i="18"/>
  <c r="F314" i="18"/>
  <c r="E314" i="18"/>
  <c r="D314" i="18"/>
  <c r="C314" i="18"/>
  <c r="B314" i="18"/>
  <c r="F313" i="18"/>
  <c r="E313" i="18"/>
  <c r="D313" i="18"/>
  <c r="C313" i="18"/>
  <c r="B313" i="18"/>
  <c r="F312" i="18"/>
  <c r="E312" i="18"/>
  <c r="D312" i="18"/>
  <c r="C312" i="18"/>
  <c r="B312" i="18"/>
  <c r="F311" i="18"/>
  <c r="E311" i="18"/>
  <c r="D311" i="18"/>
  <c r="C311" i="18"/>
  <c r="B311" i="18"/>
  <c r="F310" i="18"/>
  <c r="E310" i="18"/>
  <c r="D310" i="18"/>
  <c r="C310" i="18"/>
  <c r="B310" i="18"/>
  <c r="F309" i="18"/>
  <c r="E309" i="18"/>
  <c r="D309" i="18"/>
  <c r="C309" i="18"/>
  <c r="B309" i="18"/>
  <c r="F308" i="18"/>
  <c r="E308" i="18"/>
  <c r="D308" i="18"/>
  <c r="C308" i="18"/>
  <c r="B308" i="18"/>
  <c r="F307" i="18"/>
  <c r="E307" i="18"/>
  <c r="D307" i="18"/>
  <c r="C307" i="18"/>
  <c r="B307" i="18"/>
  <c r="F306" i="18"/>
  <c r="E306" i="18"/>
  <c r="D306" i="18"/>
  <c r="C306" i="18"/>
  <c r="B306" i="18"/>
  <c r="F305" i="18"/>
  <c r="E305" i="18"/>
  <c r="D305" i="18"/>
  <c r="C305" i="18"/>
  <c r="B305" i="18"/>
  <c r="F304" i="18"/>
  <c r="E304" i="18"/>
  <c r="D304" i="18"/>
  <c r="C304" i="18"/>
  <c r="B304" i="18"/>
  <c r="F303" i="18"/>
  <c r="E303" i="18"/>
  <c r="D303" i="18"/>
  <c r="C303" i="18"/>
  <c r="B303" i="18"/>
  <c r="F302" i="18"/>
  <c r="E302" i="18"/>
  <c r="D302" i="18"/>
  <c r="C302" i="18"/>
  <c r="B302" i="18"/>
  <c r="F301" i="18"/>
  <c r="E301" i="18"/>
  <c r="D301" i="18"/>
  <c r="C301" i="18"/>
  <c r="B301" i="18"/>
  <c r="F300" i="18"/>
  <c r="E300" i="18"/>
  <c r="D300" i="18"/>
  <c r="C300" i="18"/>
  <c r="B300" i="18"/>
  <c r="F299" i="18"/>
  <c r="E299" i="18"/>
  <c r="D299" i="18"/>
  <c r="C299" i="18"/>
  <c r="B299" i="18"/>
  <c r="F298" i="18"/>
  <c r="E298" i="18"/>
  <c r="D298" i="18"/>
  <c r="C298" i="18"/>
  <c r="B298" i="18"/>
  <c r="F297" i="18"/>
  <c r="E297" i="18"/>
  <c r="D297" i="18"/>
  <c r="C297" i="18"/>
  <c r="B297" i="18"/>
  <c r="F296" i="18"/>
  <c r="E296" i="18"/>
  <c r="D296" i="18"/>
  <c r="C296" i="18"/>
  <c r="B296" i="18"/>
  <c r="F295" i="18"/>
  <c r="E295" i="18"/>
  <c r="D295" i="18"/>
  <c r="C295" i="18"/>
  <c r="B295" i="18"/>
  <c r="F294" i="18"/>
  <c r="E294" i="18"/>
  <c r="D294" i="18"/>
  <c r="C294" i="18"/>
  <c r="B294" i="18"/>
  <c r="F293" i="18"/>
  <c r="E293" i="18"/>
  <c r="D293" i="18"/>
  <c r="C293" i="18"/>
  <c r="B293" i="18"/>
  <c r="F292" i="18"/>
  <c r="E292" i="18"/>
  <c r="D292" i="18"/>
  <c r="C292" i="18"/>
  <c r="B292" i="18"/>
  <c r="F291" i="18"/>
  <c r="E291" i="18"/>
  <c r="D291" i="18"/>
  <c r="C291" i="18"/>
  <c r="B291" i="18"/>
  <c r="F290" i="18"/>
  <c r="E290" i="18"/>
  <c r="D290" i="18"/>
  <c r="C290" i="18"/>
  <c r="B290" i="18"/>
  <c r="F289" i="18"/>
  <c r="E289" i="18"/>
  <c r="D289" i="18"/>
  <c r="C289" i="18"/>
  <c r="B289" i="18"/>
  <c r="F288" i="18"/>
  <c r="E288" i="18"/>
  <c r="D288" i="18"/>
  <c r="C288" i="18"/>
  <c r="B288" i="18"/>
  <c r="F287" i="18"/>
  <c r="E287" i="18"/>
  <c r="D287" i="18"/>
  <c r="C287" i="18"/>
  <c r="B287" i="18"/>
  <c r="F286" i="18"/>
  <c r="E286" i="18"/>
  <c r="D286" i="18"/>
  <c r="C286" i="18"/>
  <c r="B286" i="18"/>
  <c r="F285" i="18"/>
  <c r="E285" i="18"/>
  <c r="D285" i="18"/>
  <c r="C285" i="18"/>
  <c r="B285" i="18"/>
  <c r="F284" i="18"/>
  <c r="E284" i="18"/>
  <c r="D284" i="18"/>
  <c r="C284" i="18"/>
  <c r="B284" i="18"/>
  <c r="F283" i="18"/>
  <c r="E283" i="18"/>
  <c r="D283" i="18"/>
  <c r="C283" i="18"/>
  <c r="B283" i="18"/>
  <c r="F282" i="18"/>
  <c r="E282" i="18"/>
  <c r="D282" i="18"/>
  <c r="C282" i="18"/>
  <c r="B282" i="18"/>
  <c r="F281" i="18"/>
  <c r="E281" i="18"/>
  <c r="D281" i="18"/>
  <c r="C281" i="18"/>
  <c r="B281" i="18"/>
  <c r="F280" i="18"/>
  <c r="E280" i="18"/>
  <c r="D280" i="18"/>
  <c r="C280" i="18"/>
  <c r="B280" i="18"/>
  <c r="F279" i="18"/>
  <c r="E279" i="18"/>
  <c r="D279" i="18"/>
  <c r="C279" i="18"/>
  <c r="B279" i="18"/>
  <c r="F278" i="18"/>
  <c r="E278" i="18"/>
  <c r="D278" i="18"/>
  <c r="C278" i="18"/>
  <c r="B278" i="18"/>
  <c r="F277" i="18"/>
  <c r="E277" i="18"/>
  <c r="D277" i="18"/>
  <c r="C277" i="18"/>
  <c r="B277" i="18"/>
  <c r="F276" i="18"/>
  <c r="E276" i="18"/>
  <c r="D276" i="18"/>
  <c r="C276" i="18"/>
  <c r="B276" i="18"/>
  <c r="F275" i="18"/>
  <c r="E275" i="18"/>
  <c r="D275" i="18"/>
  <c r="C275" i="18"/>
  <c r="B275" i="18"/>
  <c r="F274" i="18"/>
  <c r="E274" i="18"/>
  <c r="D274" i="18"/>
  <c r="C274" i="18"/>
  <c r="B274" i="18"/>
  <c r="F273" i="18"/>
  <c r="E273" i="18"/>
  <c r="D273" i="18"/>
  <c r="C273" i="18"/>
  <c r="B273" i="18"/>
  <c r="F272" i="18"/>
  <c r="E272" i="18"/>
  <c r="D272" i="18"/>
  <c r="C272" i="18"/>
  <c r="B272" i="18"/>
  <c r="F271" i="18"/>
  <c r="E271" i="18"/>
  <c r="D271" i="18"/>
  <c r="C271" i="18"/>
  <c r="B271" i="18"/>
  <c r="F270" i="18"/>
  <c r="E270" i="18"/>
  <c r="D270" i="18"/>
  <c r="C270" i="18"/>
  <c r="B270" i="18"/>
  <c r="F269" i="18"/>
  <c r="E269" i="18"/>
  <c r="D269" i="18"/>
  <c r="C269" i="18"/>
  <c r="B269" i="18"/>
  <c r="F268" i="18"/>
  <c r="E268" i="18"/>
  <c r="D268" i="18"/>
  <c r="C268" i="18"/>
  <c r="B268" i="18"/>
  <c r="F267" i="18"/>
  <c r="E267" i="18"/>
  <c r="D267" i="18"/>
  <c r="C267" i="18"/>
  <c r="B267" i="18"/>
  <c r="F266" i="18"/>
  <c r="E266" i="18"/>
  <c r="D266" i="18"/>
  <c r="C266" i="18"/>
  <c r="B266" i="18"/>
  <c r="F265" i="18"/>
  <c r="E265" i="18"/>
  <c r="D265" i="18"/>
  <c r="C265" i="18"/>
  <c r="B265" i="18"/>
  <c r="F264" i="18"/>
  <c r="E264" i="18"/>
  <c r="D264" i="18"/>
  <c r="C264" i="18"/>
  <c r="B264" i="18"/>
  <c r="F263" i="18"/>
  <c r="E263" i="18"/>
  <c r="D263" i="18"/>
  <c r="C263" i="18"/>
  <c r="B263" i="18"/>
  <c r="F262" i="18"/>
  <c r="E262" i="18"/>
  <c r="D262" i="18"/>
  <c r="C262" i="18"/>
  <c r="B262" i="18"/>
  <c r="F261" i="18"/>
  <c r="E261" i="18"/>
  <c r="D261" i="18"/>
  <c r="C261" i="18"/>
  <c r="B261" i="18"/>
  <c r="F260" i="18"/>
  <c r="E260" i="18"/>
  <c r="D260" i="18"/>
  <c r="C260" i="18"/>
  <c r="B260" i="18"/>
  <c r="F259" i="18"/>
  <c r="E259" i="18"/>
  <c r="D259" i="18"/>
  <c r="C259" i="18"/>
  <c r="B259" i="18"/>
  <c r="F258" i="18"/>
  <c r="E258" i="18"/>
  <c r="D258" i="18"/>
  <c r="C258" i="18"/>
  <c r="B258" i="18"/>
  <c r="F257" i="18"/>
  <c r="E257" i="18"/>
  <c r="D257" i="18"/>
  <c r="C257" i="18"/>
  <c r="B257" i="18"/>
  <c r="F256" i="18"/>
  <c r="E256" i="18"/>
  <c r="D256" i="18"/>
  <c r="C256" i="18"/>
  <c r="B256" i="18"/>
  <c r="F255" i="18"/>
  <c r="E255" i="18"/>
  <c r="D255" i="18"/>
  <c r="C255" i="18"/>
  <c r="B255" i="18"/>
  <c r="F254" i="18"/>
  <c r="E254" i="18"/>
  <c r="D254" i="18"/>
  <c r="C254" i="18"/>
  <c r="B254" i="18"/>
  <c r="F253" i="18"/>
  <c r="E253" i="18"/>
  <c r="D253" i="18"/>
  <c r="C253" i="18"/>
  <c r="B253" i="18"/>
  <c r="F252" i="18"/>
  <c r="E252" i="18"/>
  <c r="D252" i="18"/>
  <c r="C252" i="18"/>
  <c r="B252" i="18"/>
  <c r="F251" i="18"/>
  <c r="E251" i="18"/>
  <c r="D251" i="18"/>
  <c r="C251" i="18"/>
  <c r="B251" i="18"/>
  <c r="F250" i="18"/>
  <c r="E250" i="18"/>
  <c r="D250" i="18"/>
  <c r="C250" i="18"/>
  <c r="B250" i="18"/>
  <c r="F249" i="18"/>
  <c r="E249" i="18"/>
  <c r="D249" i="18"/>
  <c r="C249" i="18"/>
  <c r="B249" i="18"/>
  <c r="F248" i="18"/>
  <c r="E248" i="18"/>
  <c r="D248" i="18"/>
  <c r="C248" i="18"/>
  <c r="B248" i="18"/>
  <c r="F247" i="18"/>
  <c r="E247" i="18"/>
  <c r="D247" i="18"/>
  <c r="C247" i="18"/>
  <c r="B247" i="18"/>
  <c r="F246" i="18"/>
  <c r="E246" i="18"/>
  <c r="D246" i="18"/>
  <c r="C246" i="18"/>
  <c r="B246" i="18"/>
  <c r="F245" i="18"/>
  <c r="E245" i="18"/>
  <c r="D245" i="18"/>
  <c r="C245" i="18"/>
  <c r="B245" i="18"/>
  <c r="F244" i="18"/>
  <c r="E244" i="18"/>
  <c r="D244" i="18"/>
  <c r="C244" i="18"/>
  <c r="B244" i="18"/>
  <c r="F243" i="18"/>
  <c r="E243" i="18"/>
  <c r="D243" i="18"/>
  <c r="C243" i="18"/>
  <c r="B243" i="18"/>
  <c r="F242" i="18"/>
  <c r="E242" i="18"/>
  <c r="D242" i="18"/>
  <c r="C242" i="18"/>
  <c r="B242" i="18"/>
  <c r="F241" i="18"/>
  <c r="E241" i="18"/>
  <c r="D241" i="18"/>
  <c r="C241" i="18"/>
  <c r="B241" i="18"/>
  <c r="F240" i="18"/>
  <c r="E240" i="18"/>
  <c r="D240" i="18"/>
  <c r="C240" i="18"/>
  <c r="B240" i="18"/>
  <c r="F239" i="18"/>
  <c r="E239" i="18"/>
  <c r="D239" i="18"/>
  <c r="C239" i="18"/>
  <c r="B239" i="18"/>
  <c r="F238" i="18"/>
  <c r="E238" i="18"/>
  <c r="D238" i="18"/>
  <c r="C238" i="18"/>
  <c r="B238" i="18"/>
  <c r="F237" i="18"/>
  <c r="E237" i="18"/>
  <c r="D237" i="18"/>
  <c r="C237" i="18"/>
  <c r="B237" i="18"/>
  <c r="F236" i="18"/>
  <c r="E236" i="18"/>
  <c r="D236" i="18"/>
  <c r="C236" i="18"/>
  <c r="B236" i="18"/>
  <c r="F235" i="18"/>
  <c r="E235" i="18"/>
  <c r="D235" i="18"/>
  <c r="C235" i="18"/>
  <c r="B235" i="18"/>
  <c r="F234" i="18"/>
  <c r="E234" i="18"/>
  <c r="D234" i="18"/>
  <c r="C234" i="18"/>
  <c r="B234" i="18"/>
  <c r="F233" i="18"/>
  <c r="E233" i="18"/>
  <c r="D233" i="18"/>
  <c r="C233" i="18"/>
  <c r="B233" i="18"/>
  <c r="F232" i="18"/>
  <c r="E232" i="18"/>
  <c r="D232" i="18"/>
  <c r="C232" i="18"/>
  <c r="B232" i="18"/>
  <c r="F231" i="18"/>
  <c r="E231" i="18"/>
  <c r="D231" i="18"/>
  <c r="C231" i="18"/>
  <c r="B231" i="18"/>
  <c r="F230" i="18"/>
  <c r="E230" i="18"/>
  <c r="D230" i="18"/>
  <c r="C230" i="18"/>
  <c r="B230" i="18"/>
  <c r="F229" i="18"/>
  <c r="E229" i="18"/>
  <c r="D229" i="18"/>
  <c r="C229" i="18"/>
  <c r="B229" i="18"/>
  <c r="F228" i="18"/>
  <c r="E228" i="18"/>
  <c r="D228" i="18"/>
  <c r="C228" i="18"/>
  <c r="B228" i="18"/>
  <c r="F227" i="18"/>
  <c r="E227" i="18"/>
  <c r="D227" i="18"/>
  <c r="C227" i="18"/>
  <c r="B227" i="18"/>
  <c r="F226" i="18"/>
  <c r="E226" i="18"/>
  <c r="D226" i="18"/>
  <c r="C226" i="18"/>
  <c r="B226" i="18"/>
  <c r="F225" i="18"/>
  <c r="E225" i="18"/>
  <c r="D225" i="18"/>
  <c r="C225" i="18"/>
  <c r="B225" i="18"/>
  <c r="F224" i="18"/>
  <c r="E224" i="18"/>
  <c r="D224" i="18"/>
  <c r="C224" i="18"/>
  <c r="B224" i="18"/>
  <c r="F223" i="18"/>
  <c r="E223" i="18"/>
  <c r="D223" i="18"/>
  <c r="C223" i="18"/>
  <c r="B223" i="18"/>
  <c r="F222" i="18"/>
  <c r="E222" i="18"/>
  <c r="D222" i="18"/>
  <c r="C222" i="18"/>
  <c r="B222" i="18"/>
  <c r="F221" i="18"/>
  <c r="E221" i="18"/>
  <c r="D221" i="18"/>
  <c r="C221" i="18"/>
  <c r="B221" i="18"/>
  <c r="F220" i="18"/>
  <c r="E220" i="18"/>
  <c r="D220" i="18"/>
  <c r="C220" i="18"/>
  <c r="B220" i="18"/>
  <c r="F219" i="18"/>
  <c r="E219" i="18"/>
  <c r="D219" i="18"/>
  <c r="C219" i="18"/>
  <c r="B219" i="18"/>
  <c r="F218" i="18"/>
  <c r="E218" i="18"/>
  <c r="D218" i="18"/>
  <c r="C218" i="18"/>
  <c r="B218" i="18"/>
  <c r="F217" i="18"/>
  <c r="E217" i="18"/>
  <c r="D217" i="18"/>
  <c r="C217" i="18"/>
  <c r="B217" i="18"/>
  <c r="F216" i="18"/>
  <c r="E216" i="18"/>
  <c r="D216" i="18"/>
  <c r="C216" i="18"/>
  <c r="B216" i="18"/>
  <c r="F215" i="18"/>
  <c r="E215" i="18"/>
  <c r="D215" i="18"/>
  <c r="C215" i="18"/>
  <c r="B215" i="18"/>
  <c r="F214" i="18"/>
  <c r="E214" i="18"/>
  <c r="D214" i="18"/>
  <c r="C214" i="18"/>
  <c r="B214" i="18"/>
  <c r="F213" i="18"/>
  <c r="E213" i="18"/>
  <c r="D213" i="18"/>
  <c r="C213" i="18"/>
  <c r="B213" i="18"/>
  <c r="F212" i="18"/>
  <c r="E212" i="18"/>
  <c r="D212" i="18"/>
  <c r="C212" i="18"/>
  <c r="B212" i="18"/>
  <c r="F211" i="18"/>
  <c r="E211" i="18"/>
  <c r="D211" i="18"/>
  <c r="C211" i="18"/>
  <c r="B211" i="18"/>
  <c r="F210" i="18"/>
  <c r="E210" i="18"/>
  <c r="D210" i="18"/>
  <c r="C210" i="18"/>
  <c r="B210" i="18"/>
  <c r="F209" i="18"/>
  <c r="E209" i="18"/>
  <c r="D209" i="18"/>
  <c r="C209" i="18"/>
  <c r="B209" i="18"/>
  <c r="F208" i="18"/>
  <c r="E208" i="18"/>
  <c r="D208" i="18"/>
  <c r="C208" i="18"/>
  <c r="B208" i="18"/>
  <c r="F207" i="18"/>
  <c r="E207" i="18"/>
  <c r="D207" i="18"/>
  <c r="C207" i="18"/>
  <c r="B207" i="18"/>
  <c r="F206" i="18"/>
  <c r="E206" i="18"/>
  <c r="D206" i="18"/>
  <c r="C206" i="18"/>
  <c r="B206" i="18"/>
  <c r="F205" i="18"/>
  <c r="E205" i="18"/>
  <c r="D205" i="18"/>
  <c r="C205" i="18"/>
  <c r="B205" i="18"/>
  <c r="F204" i="18"/>
  <c r="E204" i="18"/>
  <c r="D204" i="18"/>
  <c r="C204" i="18"/>
  <c r="B204" i="18"/>
  <c r="F203" i="18"/>
  <c r="E203" i="18"/>
  <c r="D203" i="18"/>
  <c r="C203" i="18"/>
  <c r="B203" i="18"/>
  <c r="F202" i="18"/>
  <c r="E202" i="18"/>
  <c r="D202" i="18"/>
  <c r="C202" i="18"/>
  <c r="B202" i="18"/>
  <c r="F201" i="18"/>
  <c r="E201" i="18"/>
  <c r="D201" i="18"/>
  <c r="C201" i="18"/>
  <c r="B201" i="18"/>
  <c r="F200" i="18"/>
  <c r="E200" i="18"/>
  <c r="D200" i="18"/>
  <c r="C200" i="18"/>
  <c r="B200" i="18"/>
  <c r="F199" i="18"/>
  <c r="E199" i="18"/>
  <c r="D199" i="18"/>
  <c r="C199" i="18"/>
  <c r="B199" i="18"/>
  <c r="F198" i="18"/>
  <c r="E198" i="18"/>
  <c r="D198" i="18"/>
  <c r="C198" i="18"/>
  <c r="B198" i="18"/>
  <c r="F197" i="18"/>
  <c r="E197" i="18"/>
  <c r="D197" i="18"/>
  <c r="C197" i="18"/>
  <c r="B197" i="18"/>
  <c r="F196" i="18"/>
  <c r="E196" i="18"/>
  <c r="D196" i="18"/>
  <c r="C196" i="18"/>
  <c r="B196" i="18"/>
  <c r="F195" i="18"/>
  <c r="E195" i="18"/>
  <c r="D195" i="18"/>
  <c r="C195" i="18"/>
  <c r="B195" i="18"/>
  <c r="F194" i="18"/>
  <c r="E194" i="18"/>
  <c r="D194" i="18"/>
  <c r="C194" i="18"/>
  <c r="B194" i="18"/>
  <c r="F193" i="18"/>
  <c r="E193" i="18"/>
  <c r="D193" i="18"/>
  <c r="C193" i="18"/>
  <c r="B193" i="18"/>
  <c r="F192" i="18"/>
  <c r="E192" i="18"/>
  <c r="D192" i="18"/>
  <c r="C192" i="18"/>
  <c r="B192" i="18"/>
  <c r="F191" i="18"/>
  <c r="E191" i="18"/>
  <c r="D191" i="18"/>
  <c r="C191" i="18"/>
  <c r="B191" i="18"/>
  <c r="F190" i="18"/>
  <c r="E190" i="18"/>
  <c r="D190" i="18"/>
  <c r="C190" i="18"/>
  <c r="B190" i="18"/>
  <c r="F189" i="18"/>
  <c r="E189" i="18"/>
  <c r="D189" i="18"/>
  <c r="C189" i="18"/>
  <c r="B189" i="18"/>
  <c r="F188" i="18"/>
  <c r="E188" i="18"/>
  <c r="D188" i="18"/>
  <c r="C188" i="18"/>
  <c r="B188" i="18"/>
  <c r="F187" i="18"/>
  <c r="E187" i="18"/>
  <c r="D187" i="18"/>
  <c r="C187" i="18"/>
  <c r="B187" i="18"/>
  <c r="F186" i="18"/>
  <c r="E186" i="18"/>
  <c r="D186" i="18"/>
  <c r="C186" i="18"/>
  <c r="B186" i="18"/>
  <c r="F185" i="18"/>
  <c r="E185" i="18"/>
  <c r="D185" i="18"/>
  <c r="C185" i="18"/>
  <c r="B185" i="18"/>
  <c r="F184" i="18"/>
  <c r="E184" i="18"/>
  <c r="D184" i="18"/>
  <c r="C184" i="18"/>
  <c r="B184" i="18"/>
  <c r="F183" i="18"/>
  <c r="E183" i="18"/>
  <c r="D183" i="18"/>
  <c r="C183" i="18"/>
  <c r="B183" i="18"/>
  <c r="F182" i="18"/>
  <c r="E182" i="18"/>
  <c r="D182" i="18"/>
  <c r="C182" i="18"/>
  <c r="B182" i="18"/>
  <c r="F181" i="18"/>
  <c r="E181" i="18"/>
  <c r="D181" i="18"/>
  <c r="C181" i="18"/>
  <c r="B181" i="18"/>
  <c r="F180" i="18"/>
  <c r="E180" i="18"/>
  <c r="D180" i="18"/>
  <c r="C180" i="18"/>
  <c r="B180" i="18"/>
  <c r="F179" i="18"/>
  <c r="E179" i="18"/>
  <c r="D179" i="18"/>
  <c r="C179" i="18"/>
  <c r="B179" i="18"/>
  <c r="F178" i="18"/>
  <c r="E178" i="18"/>
  <c r="D178" i="18"/>
  <c r="C178" i="18"/>
  <c r="B178" i="18"/>
  <c r="F177" i="18"/>
  <c r="E177" i="18"/>
  <c r="D177" i="18"/>
  <c r="C177" i="18"/>
  <c r="B177" i="18"/>
  <c r="F176" i="18"/>
  <c r="E176" i="18"/>
  <c r="D176" i="18"/>
  <c r="C176" i="18"/>
  <c r="B176" i="18"/>
  <c r="F175" i="18"/>
  <c r="E175" i="18"/>
  <c r="D175" i="18"/>
  <c r="C175" i="18"/>
  <c r="B175" i="18"/>
  <c r="F174" i="18"/>
  <c r="E174" i="18"/>
  <c r="D174" i="18"/>
  <c r="C174" i="18"/>
  <c r="B174" i="18"/>
  <c r="F173" i="18"/>
  <c r="E173" i="18"/>
  <c r="D173" i="18"/>
  <c r="C173" i="18"/>
  <c r="B173" i="18"/>
  <c r="F172" i="18"/>
  <c r="E172" i="18"/>
  <c r="D172" i="18"/>
  <c r="C172" i="18"/>
  <c r="B172" i="18"/>
  <c r="F171" i="18"/>
  <c r="E171" i="18"/>
  <c r="D171" i="18"/>
  <c r="C171" i="18"/>
  <c r="B171" i="18"/>
  <c r="F170" i="18"/>
  <c r="E170" i="18"/>
  <c r="D170" i="18"/>
  <c r="C170" i="18"/>
  <c r="B170" i="18"/>
  <c r="F169" i="18"/>
  <c r="E169" i="18"/>
  <c r="D169" i="18"/>
  <c r="C169" i="18"/>
  <c r="B169" i="18"/>
  <c r="F168" i="18"/>
  <c r="E168" i="18"/>
  <c r="D168" i="18"/>
  <c r="C168" i="18"/>
  <c r="B168" i="18"/>
  <c r="F167" i="18"/>
  <c r="E167" i="18"/>
  <c r="D167" i="18"/>
  <c r="C167" i="18"/>
  <c r="B167" i="18"/>
  <c r="F166" i="18"/>
  <c r="E166" i="18"/>
  <c r="D166" i="18"/>
  <c r="C166" i="18"/>
  <c r="B166" i="18"/>
  <c r="F165" i="18"/>
  <c r="E165" i="18"/>
  <c r="D165" i="18"/>
  <c r="C165" i="18"/>
  <c r="B165" i="18"/>
  <c r="F164" i="18"/>
  <c r="E164" i="18"/>
  <c r="D164" i="18"/>
  <c r="C164" i="18"/>
  <c r="B164" i="18"/>
  <c r="F163" i="18"/>
  <c r="E163" i="18"/>
  <c r="D163" i="18"/>
  <c r="C163" i="18"/>
  <c r="B163" i="18"/>
  <c r="F162" i="18"/>
  <c r="E162" i="18"/>
  <c r="D162" i="18"/>
  <c r="C162" i="18"/>
  <c r="B162" i="18"/>
  <c r="F161" i="18"/>
  <c r="E161" i="18"/>
  <c r="D161" i="18"/>
  <c r="C161" i="18"/>
  <c r="B161" i="18"/>
  <c r="F160" i="18"/>
  <c r="E160" i="18"/>
  <c r="D160" i="18"/>
  <c r="C160" i="18"/>
  <c r="B160" i="18"/>
  <c r="F159" i="18"/>
  <c r="E159" i="18"/>
  <c r="D159" i="18"/>
  <c r="C159" i="18"/>
  <c r="B159" i="18"/>
  <c r="F158" i="18"/>
  <c r="E158" i="18"/>
  <c r="D158" i="18"/>
  <c r="C158" i="18"/>
  <c r="B158" i="18"/>
  <c r="F157" i="18"/>
  <c r="E157" i="18"/>
  <c r="D157" i="18"/>
  <c r="C157" i="18"/>
  <c r="B157" i="18"/>
  <c r="F156" i="18"/>
  <c r="E156" i="18"/>
  <c r="D156" i="18"/>
  <c r="C156" i="18"/>
  <c r="B156" i="18"/>
  <c r="F155" i="18"/>
  <c r="E155" i="18"/>
  <c r="D155" i="18"/>
  <c r="C155" i="18"/>
  <c r="B155" i="18"/>
  <c r="F154" i="18"/>
  <c r="E154" i="18"/>
  <c r="D154" i="18"/>
  <c r="C154" i="18"/>
  <c r="B154" i="18"/>
  <c r="F153" i="18"/>
  <c r="E153" i="18"/>
  <c r="D153" i="18"/>
  <c r="C153" i="18"/>
  <c r="B153" i="18"/>
  <c r="F152" i="18"/>
  <c r="E152" i="18"/>
  <c r="D152" i="18"/>
  <c r="C152" i="18"/>
  <c r="B152" i="18"/>
  <c r="F151" i="18"/>
  <c r="E151" i="18"/>
  <c r="D151" i="18"/>
  <c r="C151" i="18"/>
  <c r="B151" i="18"/>
  <c r="F150" i="18"/>
  <c r="E150" i="18"/>
  <c r="D150" i="18"/>
  <c r="C150" i="18"/>
  <c r="B150" i="18"/>
  <c r="F149" i="18"/>
  <c r="E149" i="18"/>
  <c r="D149" i="18"/>
  <c r="C149" i="18"/>
  <c r="B149" i="18"/>
  <c r="F148" i="18"/>
  <c r="E148" i="18"/>
  <c r="D148" i="18"/>
  <c r="C148" i="18"/>
  <c r="B148" i="18"/>
  <c r="F147" i="18"/>
  <c r="E147" i="18"/>
  <c r="D147" i="18"/>
  <c r="C147" i="18"/>
  <c r="B147" i="18"/>
  <c r="F146" i="18"/>
  <c r="E146" i="18"/>
  <c r="D146" i="18"/>
  <c r="C146" i="18"/>
  <c r="B146" i="18"/>
  <c r="F145" i="18"/>
  <c r="E145" i="18"/>
  <c r="D145" i="18"/>
  <c r="C145" i="18"/>
  <c r="B145" i="18"/>
  <c r="F144" i="18"/>
  <c r="E144" i="18"/>
  <c r="D144" i="18"/>
  <c r="C144" i="18"/>
  <c r="B144" i="18"/>
  <c r="F143" i="18"/>
  <c r="E143" i="18"/>
  <c r="D143" i="18"/>
  <c r="C143" i="18"/>
  <c r="B143" i="18"/>
  <c r="F142" i="18"/>
  <c r="E142" i="18"/>
  <c r="D142" i="18"/>
  <c r="C142" i="18"/>
  <c r="B142" i="18"/>
  <c r="F141" i="18"/>
  <c r="E141" i="18"/>
  <c r="D141" i="18"/>
  <c r="C141" i="18"/>
  <c r="B141" i="18"/>
  <c r="F140" i="18"/>
  <c r="E140" i="18"/>
  <c r="D140" i="18"/>
  <c r="C140" i="18"/>
  <c r="B140" i="18"/>
  <c r="F139" i="18"/>
  <c r="E139" i="18"/>
  <c r="D139" i="18"/>
  <c r="C139" i="18"/>
  <c r="B139" i="18"/>
  <c r="F138" i="18"/>
  <c r="E138" i="18"/>
  <c r="D138" i="18"/>
  <c r="C138" i="18"/>
  <c r="B138" i="18"/>
  <c r="F137" i="18"/>
  <c r="E137" i="18"/>
  <c r="D137" i="18"/>
  <c r="C137" i="18"/>
  <c r="B137" i="18"/>
  <c r="F136" i="18"/>
  <c r="E136" i="18"/>
  <c r="D136" i="18"/>
  <c r="C136" i="18"/>
  <c r="B136" i="18"/>
  <c r="F135" i="18"/>
  <c r="E135" i="18"/>
  <c r="D135" i="18"/>
  <c r="C135" i="18"/>
  <c r="B135" i="18"/>
  <c r="F134" i="18"/>
  <c r="E134" i="18"/>
  <c r="D134" i="18"/>
  <c r="C134" i="18"/>
  <c r="B134" i="18"/>
  <c r="F133" i="18"/>
  <c r="E133" i="18"/>
  <c r="D133" i="18"/>
  <c r="C133" i="18"/>
  <c r="B133" i="18"/>
  <c r="F132" i="18"/>
  <c r="E132" i="18"/>
  <c r="D132" i="18"/>
  <c r="C132" i="18"/>
  <c r="B132" i="18"/>
  <c r="F131" i="18"/>
  <c r="E131" i="18"/>
  <c r="D131" i="18"/>
  <c r="C131" i="18"/>
  <c r="B131" i="18"/>
  <c r="F130" i="18"/>
  <c r="E130" i="18"/>
  <c r="D130" i="18"/>
  <c r="C130" i="18"/>
  <c r="B130" i="18"/>
  <c r="F129" i="18"/>
  <c r="E129" i="18"/>
  <c r="D129" i="18"/>
  <c r="C129" i="18"/>
  <c r="B129" i="18"/>
  <c r="F128" i="18"/>
  <c r="E128" i="18"/>
  <c r="D128" i="18"/>
  <c r="C128" i="18"/>
  <c r="B128" i="18"/>
  <c r="F127" i="18"/>
  <c r="E127" i="18"/>
  <c r="D127" i="18"/>
  <c r="C127" i="18"/>
  <c r="B127" i="18"/>
  <c r="F126" i="18"/>
  <c r="E126" i="18"/>
  <c r="D126" i="18"/>
  <c r="C126" i="18"/>
  <c r="B126" i="18"/>
  <c r="F125" i="18"/>
  <c r="E125" i="18"/>
  <c r="D125" i="18"/>
  <c r="C125" i="18"/>
  <c r="B125" i="18"/>
  <c r="F124" i="18"/>
  <c r="E124" i="18"/>
  <c r="D124" i="18"/>
  <c r="C124" i="18"/>
  <c r="B124" i="18"/>
  <c r="F123" i="18"/>
  <c r="E123" i="18"/>
  <c r="D123" i="18"/>
  <c r="C123" i="18"/>
  <c r="B123" i="18"/>
  <c r="F122" i="18"/>
  <c r="E122" i="18"/>
  <c r="D122" i="18"/>
  <c r="C122" i="18"/>
  <c r="B122" i="18"/>
  <c r="F121" i="18"/>
  <c r="E121" i="18"/>
  <c r="D121" i="18"/>
  <c r="C121" i="18"/>
  <c r="B121" i="18"/>
  <c r="F120" i="18"/>
  <c r="E120" i="18"/>
  <c r="D120" i="18"/>
  <c r="C120" i="18"/>
  <c r="B120" i="18"/>
  <c r="F119" i="18"/>
  <c r="E119" i="18"/>
  <c r="D119" i="18"/>
  <c r="C119" i="18"/>
  <c r="B119" i="18"/>
  <c r="F118" i="18"/>
  <c r="E118" i="18"/>
  <c r="D118" i="18"/>
  <c r="C118" i="18"/>
  <c r="B118" i="18"/>
  <c r="F117" i="18"/>
  <c r="E117" i="18"/>
  <c r="D117" i="18"/>
  <c r="C117" i="18"/>
  <c r="B117" i="18"/>
  <c r="F116" i="18"/>
  <c r="E116" i="18"/>
  <c r="D116" i="18"/>
  <c r="C116" i="18"/>
  <c r="B116" i="18"/>
  <c r="F115" i="18"/>
  <c r="E115" i="18"/>
  <c r="D115" i="18"/>
  <c r="C115" i="18"/>
  <c r="B115" i="18"/>
  <c r="F114" i="18"/>
  <c r="E114" i="18"/>
  <c r="D114" i="18"/>
  <c r="C114" i="18"/>
  <c r="B114" i="18"/>
  <c r="F113" i="18"/>
  <c r="E113" i="18"/>
  <c r="D113" i="18"/>
  <c r="C113" i="18"/>
  <c r="B113" i="18"/>
  <c r="F112" i="18"/>
  <c r="E112" i="18"/>
  <c r="D112" i="18"/>
  <c r="C112" i="18"/>
  <c r="B112" i="18"/>
  <c r="F111" i="18"/>
  <c r="E111" i="18"/>
  <c r="D111" i="18"/>
  <c r="C111" i="18"/>
  <c r="B111" i="18"/>
  <c r="F110" i="18"/>
  <c r="E110" i="18"/>
  <c r="D110" i="18"/>
  <c r="C110" i="18"/>
  <c r="B110" i="18"/>
  <c r="F109" i="18"/>
  <c r="E109" i="18"/>
  <c r="D109" i="18"/>
  <c r="C109" i="18"/>
  <c r="B109" i="18"/>
  <c r="F108" i="18"/>
  <c r="E108" i="18"/>
  <c r="D108" i="18"/>
  <c r="C108" i="18"/>
  <c r="B108" i="18"/>
  <c r="F107" i="18"/>
  <c r="E107" i="18"/>
  <c r="D107" i="18"/>
  <c r="C107" i="18"/>
  <c r="B107" i="18"/>
  <c r="F106" i="18"/>
  <c r="E106" i="18"/>
  <c r="D106" i="18"/>
  <c r="C106" i="18"/>
  <c r="B106" i="18"/>
  <c r="F105" i="18"/>
  <c r="E105" i="18"/>
  <c r="D105" i="18"/>
  <c r="C105" i="18"/>
  <c r="B105" i="18"/>
  <c r="F104" i="18"/>
  <c r="E104" i="18"/>
  <c r="D104" i="18"/>
  <c r="C104" i="18"/>
  <c r="B104" i="18"/>
  <c r="F103" i="18"/>
  <c r="E103" i="18"/>
  <c r="D103" i="18"/>
  <c r="C103" i="18"/>
  <c r="B103" i="18"/>
  <c r="F102" i="18"/>
  <c r="E102" i="18"/>
  <c r="D102" i="18"/>
  <c r="C102" i="18"/>
  <c r="B102" i="18"/>
  <c r="F101" i="18"/>
  <c r="E101" i="18"/>
  <c r="D101" i="18"/>
  <c r="C101" i="18"/>
  <c r="B101" i="18"/>
  <c r="F100" i="18"/>
  <c r="E100" i="18"/>
  <c r="D100" i="18"/>
  <c r="C100" i="18"/>
  <c r="B100" i="18"/>
  <c r="F99" i="18"/>
  <c r="E99" i="18"/>
  <c r="D99" i="18"/>
  <c r="C99" i="18"/>
  <c r="B99" i="18"/>
  <c r="F98" i="18"/>
  <c r="E98" i="18"/>
  <c r="D98" i="18"/>
  <c r="C98" i="18"/>
  <c r="B98" i="18"/>
  <c r="F97" i="18"/>
  <c r="E97" i="18"/>
  <c r="D97" i="18"/>
  <c r="C97" i="18"/>
  <c r="B97" i="18"/>
  <c r="F96" i="18"/>
  <c r="E96" i="18"/>
  <c r="D96" i="18"/>
  <c r="C96" i="18"/>
  <c r="B96" i="18"/>
  <c r="F95" i="18"/>
  <c r="E95" i="18"/>
  <c r="D95" i="18"/>
  <c r="C95" i="18"/>
  <c r="B95" i="18"/>
  <c r="F94" i="18"/>
  <c r="E94" i="18"/>
  <c r="D94" i="18"/>
  <c r="C94" i="18"/>
  <c r="B94" i="18"/>
  <c r="F93" i="18"/>
  <c r="E93" i="18"/>
  <c r="D93" i="18"/>
  <c r="C93" i="18"/>
  <c r="B93" i="18"/>
  <c r="F92" i="18"/>
  <c r="E92" i="18"/>
  <c r="D92" i="18"/>
  <c r="C92" i="18"/>
  <c r="B92" i="18"/>
  <c r="F91" i="18"/>
  <c r="E91" i="18"/>
  <c r="D91" i="18"/>
  <c r="C91" i="18"/>
  <c r="B91" i="18"/>
  <c r="F90" i="18"/>
  <c r="E90" i="18"/>
  <c r="D90" i="18"/>
  <c r="C90" i="18"/>
  <c r="B90" i="18"/>
  <c r="F89" i="18"/>
  <c r="E89" i="18"/>
  <c r="D89" i="18"/>
  <c r="C89" i="18"/>
  <c r="B89" i="18"/>
  <c r="F88" i="18"/>
  <c r="E88" i="18"/>
  <c r="D88" i="18"/>
  <c r="C88" i="18"/>
  <c r="B88" i="18"/>
  <c r="F87" i="18"/>
  <c r="E87" i="18"/>
  <c r="D87" i="18"/>
  <c r="C87" i="18"/>
  <c r="B87" i="18"/>
  <c r="F86" i="18"/>
  <c r="E86" i="18"/>
  <c r="D86" i="18"/>
  <c r="C86" i="18"/>
  <c r="B86" i="18"/>
  <c r="F85" i="18"/>
  <c r="E85" i="18"/>
  <c r="D85" i="18"/>
  <c r="C85" i="18"/>
  <c r="B85" i="18"/>
  <c r="F84" i="18"/>
  <c r="E84" i="18"/>
  <c r="D84" i="18"/>
  <c r="C84" i="18"/>
  <c r="B84" i="18"/>
  <c r="F83" i="18"/>
  <c r="E83" i="18"/>
  <c r="D83" i="18"/>
  <c r="C83" i="18"/>
  <c r="B83" i="18"/>
  <c r="F82" i="18"/>
  <c r="E82" i="18"/>
  <c r="D82" i="18"/>
  <c r="C82" i="18"/>
  <c r="B82" i="18"/>
  <c r="F81" i="18"/>
  <c r="E81" i="18"/>
  <c r="D81" i="18"/>
  <c r="C81" i="18"/>
  <c r="B81" i="18"/>
  <c r="F80" i="18"/>
  <c r="E80" i="18"/>
  <c r="D80" i="18"/>
  <c r="C80" i="18"/>
  <c r="B80" i="18"/>
  <c r="F79" i="18"/>
  <c r="E79" i="18"/>
  <c r="D79" i="18"/>
  <c r="C79" i="18"/>
  <c r="B79" i="18"/>
  <c r="F78" i="18"/>
  <c r="E78" i="18"/>
  <c r="D78" i="18"/>
  <c r="C78" i="18"/>
  <c r="B78" i="18"/>
  <c r="F77" i="18"/>
  <c r="E77" i="18"/>
  <c r="D77" i="18"/>
  <c r="C77" i="18"/>
  <c r="B77" i="18"/>
  <c r="F76" i="18"/>
  <c r="E76" i="18"/>
  <c r="D76" i="18"/>
  <c r="C76" i="18"/>
  <c r="B76" i="18"/>
  <c r="F75" i="18"/>
  <c r="E75" i="18"/>
  <c r="D75" i="18"/>
  <c r="C75" i="18"/>
  <c r="B75" i="18"/>
  <c r="F74" i="18"/>
  <c r="E74" i="18"/>
  <c r="D74" i="18"/>
  <c r="C74" i="18"/>
  <c r="B74" i="18"/>
  <c r="F73" i="18"/>
  <c r="E73" i="18"/>
  <c r="D73" i="18"/>
  <c r="C73" i="18"/>
  <c r="B73" i="18"/>
  <c r="F72" i="18"/>
  <c r="E72" i="18"/>
  <c r="D72" i="18"/>
  <c r="C72" i="18"/>
  <c r="B72" i="18"/>
  <c r="F71" i="18"/>
  <c r="E71" i="18"/>
  <c r="D71" i="18"/>
  <c r="C71" i="18"/>
  <c r="B71" i="18"/>
  <c r="F70" i="18"/>
  <c r="E70" i="18"/>
  <c r="D70" i="18"/>
  <c r="C70" i="18"/>
  <c r="B70" i="18"/>
  <c r="F69" i="18"/>
  <c r="E69" i="18"/>
  <c r="D69" i="18"/>
  <c r="C69" i="18"/>
  <c r="B69" i="18"/>
  <c r="F68" i="18"/>
  <c r="E68" i="18"/>
  <c r="D68" i="18"/>
  <c r="C68" i="18"/>
  <c r="B68" i="18"/>
  <c r="F67" i="18"/>
  <c r="E67" i="18"/>
  <c r="D67" i="18"/>
  <c r="C67" i="18"/>
  <c r="B67" i="18"/>
  <c r="F66" i="18"/>
  <c r="E66" i="18"/>
  <c r="D66" i="18"/>
  <c r="C66" i="18"/>
  <c r="B66" i="18"/>
  <c r="F65" i="18"/>
  <c r="E65" i="18"/>
  <c r="D65" i="18"/>
  <c r="C65" i="18"/>
  <c r="B65" i="18"/>
  <c r="F64" i="18"/>
  <c r="E64" i="18"/>
  <c r="D64" i="18"/>
  <c r="C64" i="18"/>
  <c r="B64" i="18"/>
  <c r="F63" i="18"/>
  <c r="E63" i="18"/>
  <c r="D63" i="18"/>
  <c r="C63" i="18"/>
  <c r="B63" i="18"/>
  <c r="F62" i="18"/>
  <c r="E62" i="18"/>
  <c r="D62" i="18"/>
  <c r="C62" i="18"/>
  <c r="B62" i="18"/>
  <c r="F61" i="18"/>
  <c r="E61" i="18"/>
  <c r="D61" i="18"/>
  <c r="C61" i="18"/>
  <c r="B61" i="18"/>
  <c r="F60" i="18"/>
  <c r="E60" i="18"/>
  <c r="D60" i="18"/>
  <c r="C60" i="18"/>
  <c r="B60" i="18"/>
  <c r="F59" i="18"/>
  <c r="E59" i="18"/>
  <c r="D59" i="18"/>
  <c r="C59" i="18"/>
  <c r="B59" i="18"/>
  <c r="F58" i="18"/>
  <c r="E58" i="18"/>
  <c r="D58" i="18"/>
  <c r="C58" i="18"/>
  <c r="B58" i="18"/>
  <c r="F57" i="18"/>
  <c r="E57" i="18"/>
  <c r="D57" i="18"/>
  <c r="C57" i="18"/>
  <c r="B57" i="18"/>
  <c r="F56" i="18"/>
  <c r="E56" i="18"/>
  <c r="D56" i="18"/>
  <c r="C56" i="18"/>
  <c r="B56" i="18"/>
  <c r="F55" i="18"/>
  <c r="E55" i="18"/>
  <c r="D55" i="18"/>
  <c r="C55" i="18"/>
  <c r="B55" i="18"/>
  <c r="F54" i="18"/>
  <c r="E54" i="18"/>
  <c r="D54" i="18"/>
  <c r="C54" i="18"/>
  <c r="B54" i="18"/>
  <c r="F53" i="18"/>
  <c r="E53" i="18"/>
  <c r="D53" i="18"/>
  <c r="C53" i="18"/>
  <c r="B53" i="18"/>
  <c r="F52" i="18"/>
  <c r="E52" i="18"/>
  <c r="D52" i="18"/>
  <c r="C52" i="18"/>
  <c r="B52" i="18"/>
  <c r="F51" i="18"/>
  <c r="E51" i="18"/>
  <c r="D51" i="18"/>
  <c r="C51" i="18"/>
  <c r="B51" i="18"/>
  <c r="F50" i="18"/>
  <c r="E50" i="18"/>
  <c r="D50" i="18"/>
  <c r="C50" i="18"/>
  <c r="B50" i="18"/>
  <c r="F49" i="18"/>
  <c r="E49" i="18"/>
  <c r="D49" i="18"/>
  <c r="C49" i="18"/>
  <c r="B49" i="18"/>
  <c r="F48" i="18"/>
  <c r="E48" i="18"/>
  <c r="D48" i="18"/>
  <c r="C48" i="18"/>
  <c r="B48" i="18"/>
  <c r="F47" i="18"/>
  <c r="E47" i="18"/>
  <c r="D47" i="18"/>
  <c r="C47" i="18"/>
  <c r="B47" i="18"/>
  <c r="F46" i="18"/>
  <c r="E46" i="18"/>
  <c r="D46" i="18"/>
  <c r="C46" i="18"/>
  <c r="B46" i="18"/>
  <c r="F45" i="18"/>
  <c r="E45" i="18"/>
  <c r="D45" i="18"/>
  <c r="C45" i="18"/>
  <c r="B45" i="18"/>
  <c r="F44" i="18"/>
  <c r="E44" i="18"/>
  <c r="D44" i="18"/>
  <c r="C44" i="18"/>
  <c r="B44" i="18"/>
  <c r="F43" i="18"/>
  <c r="E43" i="18"/>
  <c r="D43" i="18"/>
  <c r="C43" i="18"/>
  <c r="B43" i="18"/>
  <c r="F42" i="18"/>
  <c r="E42" i="18"/>
  <c r="D42" i="18"/>
  <c r="C42" i="18"/>
  <c r="B42" i="18"/>
  <c r="F41" i="18"/>
  <c r="E41" i="18"/>
  <c r="D41" i="18"/>
  <c r="C41" i="18"/>
  <c r="B41" i="18"/>
  <c r="F40" i="18"/>
  <c r="E40" i="18"/>
  <c r="D40" i="18"/>
  <c r="C40" i="18"/>
  <c r="B40" i="18"/>
  <c r="F39" i="18"/>
  <c r="E39" i="18"/>
  <c r="D39" i="18"/>
  <c r="C39" i="18"/>
  <c r="B39" i="18"/>
  <c r="F38" i="18"/>
  <c r="E38" i="18"/>
  <c r="D38" i="18"/>
  <c r="C38" i="18"/>
  <c r="B38" i="18"/>
  <c r="F37" i="18"/>
  <c r="E37" i="18"/>
  <c r="D37" i="18"/>
  <c r="C37" i="18"/>
  <c r="B37" i="18"/>
  <c r="F36" i="18"/>
  <c r="E36" i="18"/>
  <c r="D36" i="18"/>
  <c r="C36" i="18"/>
  <c r="B36" i="18"/>
  <c r="F35" i="18"/>
  <c r="E35" i="18"/>
  <c r="D35" i="18"/>
  <c r="C35" i="18"/>
  <c r="B35" i="18"/>
  <c r="F34" i="18"/>
  <c r="E34" i="18"/>
  <c r="D34" i="18"/>
  <c r="C34" i="18"/>
  <c r="B34" i="18"/>
  <c r="F33" i="18"/>
  <c r="E33" i="18"/>
  <c r="D33" i="18"/>
  <c r="C33" i="18"/>
  <c r="B33" i="18"/>
  <c r="F32" i="18"/>
  <c r="E32" i="18"/>
  <c r="D32" i="18"/>
  <c r="C32" i="18"/>
  <c r="B32" i="18"/>
  <c r="F31" i="18"/>
  <c r="E31" i="18"/>
  <c r="D31" i="18"/>
  <c r="C31" i="18"/>
  <c r="B31" i="18"/>
  <c r="F30" i="18"/>
  <c r="E30" i="18"/>
  <c r="D30" i="18"/>
  <c r="C30" i="18"/>
  <c r="B30" i="18"/>
  <c r="F29" i="18"/>
  <c r="E29" i="18"/>
  <c r="D29" i="18"/>
  <c r="C29" i="18"/>
  <c r="B29" i="18"/>
  <c r="F28" i="18"/>
  <c r="E28" i="18"/>
  <c r="D28" i="18"/>
  <c r="C28" i="18"/>
  <c r="B28" i="18"/>
  <c r="F27" i="18"/>
  <c r="E27" i="18"/>
  <c r="D27" i="18"/>
  <c r="C27" i="18"/>
  <c r="B27" i="18"/>
  <c r="F26" i="18"/>
  <c r="E26" i="18"/>
  <c r="D26" i="18"/>
  <c r="C26" i="18"/>
  <c r="B26" i="18"/>
  <c r="F25" i="18"/>
  <c r="E25" i="18"/>
  <c r="D25" i="18"/>
  <c r="C25" i="18"/>
  <c r="B25" i="18"/>
  <c r="F24" i="18"/>
  <c r="E24" i="18"/>
  <c r="D24" i="18"/>
  <c r="C24" i="18"/>
  <c r="B24" i="18"/>
  <c r="F23" i="18"/>
  <c r="E23" i="18"/>
  <c r="D23" i="18"/>
  <c r="C23" i="18"/>
  <c r="B23" i="18"/>
  <c r="F22" i="18"/>
  <c r="E22" i="18"/>
  <c r="D22" i="18"/>
  <c r="C22" i="18"/>
  <c r="B22" i="18"/>
  <c r="F21" i="18"/>
  <c r="E21" i="18"/>
  <c r="D21" i="18"/>
  <c r="C21" i="18"/>
  <c r="B21" i="18"/>
  <c r="F20" i="18"/>
  <c r="E20" i="18"/>
  <c r="D20" i="18"/>
  <c r="C20" i="18"/>
  <c r="B20" i="18"/>
  <c r="F19" i="18"/>
  <c r="E19" i="18"/>
  <c r="D19" i="18"/>
  <c r="C19" i="18"/>
  <c r="B19" i="18"/>
  <c r="F18" i="18"/>
  <c r="E18" i="18"/>
  <c r="D18" i="18"/>
  <c r="C18" i="18"/>
  <c r="B18" i="18"/>
  <c r="F17" i="18"/>
  <c r="E17" i="18"/>
  <c r="D17" i="18"/>
  <c r="C17" i="18"/>
  <c r="B17" i="18"/>
  <c r="F16" i="18"/>
  <c r="E16" i="18"/>
  <c r="D16" i="18"/>
  <c r="C16" i="18"/>
  <c r="B16" i="18"/>
  <c r="F15" i="18"/>
  <c r="E15" i="18"/>
  <c r="D15" i="18"/>
  <c r="C15" i="18"/>
  <c r="B15" i="18"/>
  <c r="F14" i="18"/>
  <c r="E14" i="18"/>
  <c r="D14" i="18"/>
  <c r="C14" i="18"/>
  <c r="B14" i="18"/>
  <c r="F13" i="18"/>
  <c r="E13" i="18"/>
  <c r="D13" i="18"/>
  <c r="C13" i="18"/>
  <c r="B13" i="18"/>
  <c r="F12" i="18"/>
  <c r="E12" i="18"/>
  <c r="D12" i="18"/>
  <c r="C12" i="18"/>
  <c r="B12" i="18"/>
  <c r="F11" i="18"/>
  <c r="E11" i="18"/>
  <c r="D11" i="18"/>
  <c r="C11" i="18"/>
  <c r="B11" i="18"/>
  <c r="F10" i="18"/>
  <c r="E10" i="18"/>
  <c r="D10" i="18"/>
  <c r="C10" i="18"/>
  <c r="B10" i="18"/>
  <c r="F9" i="18"/>
  <c r="E9" i="18"/>
  <c r="D9" i="18"/>
  <c r="C9" i="18"/>
  <c r="B9" i="18"/>
  <c r="F8" i="18"/>
  <c r="E8" i="18"/>
  <c r="D8" i="18"/>
  <c r="C8" i="18"/>
  <c r="B8" i="18"/>
  <c r="F7" i="18"/>
  <c r="E7" i="18"/>
  <c r="D7" i="18"/>
  <c r="C7" i="18"/>
  <c r="B7" i="18"/>
  <c r="F6" i="18"/>
  <c r="E6" i="18"/>
  <c r="D6" i="18"/>
  <c r="C6" i="18"/>
  <c r="B6" i="18"/>
  <c r="F5" i="18"/>
  <c r="E5" i="18"/>
  <c r="D5" i="18"/>
  <c r="C5" i="18"/>
  <c r="B5" i="18"/>
  <c r="F4" i="18"/>
  <c r="E4" i="18"/>
  <c r="D4" i="18"/>
  <c r="C4" i="18"/>
  <c r="B4" i="18"/>
  <c r="F3" i="18"/>
  <c r="E3" i="18"/>
  <c r="D3" i="18"/>
  <c r="C3" i="18"/>
  <c r="B3" i="18"/>
  <c r="C18" i="17"/>
  <c r="C13" i="17"/>
  <c r="C12" i="17"/>
  <c r="B2" i="17"/>
  <c r="C20" i="16"/>
  <c r="C19" i="16"/>
  <c r="C18" i="16"/>
  <c r="C17" i="16"/>
  <c r="C11" i="16"/>
  <c r="B2" i="16"/>
  <c r="H19" i="15"/>
  <c r="C14" i="17" s="1"/>
  <c r="H18" i="15"/>
  <c r="H17" i="15"/>
  <c r="B40" i="14"/>
  <c r="B39" i="14"/>
  <c r="B38" i="14"/>
  <c r="B37" i="14"/>
  <c r="B36" i="14"/>
  <c r="B35" i="14"/>
  <c r="B34" i="14"/>
  <c r="B30" i="14"/>
  <c r="B29" i="14"/>
  <c r="B28" i="14"/>
  <c r="B27" i="14"/>
  <c r="B26" i="14"/>
  <c r="B25" i="14"/>
  <c r="B24" i="14"/>
  <c r="B20" i="14"/>
  <c r="B19" i="14"/>
  <c r="B18" i="14"/>
  <c r="B17" i="14"/>
  <c r="B16" i="14"/>
  <c r="B15" i="14"/>
  <c r="B14" i="14"/>
  <c r="B10" i="14"/>
  <c r="B9" i="14"/>
  <c r="B8" i="14"/>
  <c r="B7" i="14"/>
  <c r="B6" i="14"/>
  <c r="B5" i="14"/>
  <c r="B4" i="14"/>
  <c r="E6" i="13"/>
  <c r="E5" i="13"/>
  <c r="E4" i="13"/>
  <c r="E3" i="13"/>
  <c r="F7" i="12"/>
  <c r="H7" i="12" s="1"/>
  <c r="H6" i="12"/>
  <c r="F6" i="12"/>
  <c r="F5" i="12"/>
  <c r="H5" i="12" s="1"/>
  <c r="F4" i="12"/>
  <c r="H4" i="12" s="1"/>
  <c r="H3" i="12"/>
  <c r="F3" i="12"/>
  <c r="F405" i="11"/>
  <c r="E405" i="11"/>
  <c r="D405" i="11"/>
  <c r="C405" i="11"/>
  <c r="F404" i="11"/>
  <c r="E404" i="11"/>
  <c r="D404" i="11"/>
  <c r="C404" i="11"/>
  <c r="F403" i="11"/>
  <c r="E403" i="11"/>
  <c r="D403" i="11"/>
  <c r="C403" i="11"/>
  <c r="F402" i="11"/>
  <c r="E402" i="11"/>
  <c r="D402" i="11"/>
  <c r="C402" i="11"/>
  <c r="F401" i="11"/>
  <c r="E401" i="11"/>
  <c r="D401" i="11"/>
  <c r="C401" i="11"/>
  <c r="F400" i="11"/>
  <c r="E400" i="11"/>
  <c r="D400" i="11"/>
  <c r="C400" i="11"/>
  <c r="F399" i="11"/>
  <c r="E399" i="11"/>
  <c r="D399" i="11"/>
  <c r="C399" i="11"/>
  <c r="F398" i="11"/>
  <c r="E398" i="11"/>
  <c r="D398" i="11"/>
  <c r="C398" i="11"/>
  <c r="F397" i="11"/>
  <c r="E397" i="11"/>
  <c r="D397" i="11"/>
  <c r="C397" i="11"/>
  <c r="F396" i="11"/>
  <c r="E396" i="11"/>
  <c r="D396" i="11"/>
  <c r="C396" i="11"/>
  <c r="F395" i="11"/>
  <c r="E395" i="11"/>
  <c r="D395" i="11"/>
  <c r="C395" i="11"/>
  <c r="F394" i="11"/>
  <c r="E394" i="11"/>
  <c r="D394" i="11"/>
  <c r="C394" i="11"/>
  <c r="F393" i="11"/>
  <c r="E393" i="11"/>
  <c r="D393" i="11"/>
  <c r="C393" i="11"/>
  <c r="F392" i="11"/>
  <c r="E392" i="11"/>
  <c r="D392" i="11"/>
  <c r="C392" i="11"/>
  <c r="F391" i="11"/>
  <c r="E391" i="11"/>
  <c r="D391" i="11"/>
  <c r="C391" i="11"/>
  <c r="F390" i="11"/>
  <c r="E390" i="11"/>
  <c r="D390" i="11"/>
  <c r="C390" i="11"/>
  <c r="F389" i="11"/>
  <c r="E389" i="11"/>
  <c r="D389" i="11"/>
  <c r="C389" i="11"/>
  <c r="F388" i="11"/>
  <c r="E388" i="11"/>
  <c r="D388" i="11"/>
  <c r="C388" i="11"/>
  <c r="F387" i="11"/>
  <c r="E387" i="11"/>
  <c r="D387" i="11"/>
  <c r="C387" i="11"/>
  <c r="F386" i="11"/>
  <c r="E386" i="11"/>
  <c r="D386" i="11"/>
  <c r="C386" i="11"/>
  <c r="F385" i="11"/>
  <c r="E385" i="11"/>
  <c r="D385" i="11"/>
  <c r="C385" i="11"/>
  <c r="F384" i="11"/>
  <c r="E384" i="11"/>
  <c r="D384" i="11"/>
  <c r="C384" i="11"/>
  <c r="F383" i="11"/>
  <c r="E383" i="11"/>
  <c r="D383" i="11"/>
  <c r="C383" i="11"/>
  <c r="F382" i="11"/>
  <c r="E382" i="11"/>
  <c r="D382" i="11"/>
  <c r="C382" i="11"/>
  <c r="F381" i="11"/>
  <c r="E381" i="11"/>
  <c r="D381" i="11"/>
  <c r="C381" i="11"/>
  <c r="F380" i="11"/>
  <c r="E380" i="11"/>
  <c r="D380" i="11"/>
  <c r="C380" i="11"/>
  <c r="F379" i="11"/>
  <c r="E379" i="11"/>
  <c r="D379" i="11"/>
  <c r="C379" i="11"/>
  <c r="F378" i="11"/>
  <c r="E378" i="11"/>
  <c r="D378" i="11"/>
  <c r="C378" i="11"/>
  <c r="F377" i="11"/>
  <c r="E377" i="11"/>
  <c r="D377" i="11"/>
  <c r="C377" i="11"/>
  <c r="F376" i="11"/>
  <c r="E376" i="11"/>
  <c r="D376" i="11"/>
  <c r="C376" i="11"/>
  <c r="F375" i="11"/>
  <c r="E375" i="11"/>
  <c r="D375" i="11"/>
  <c r="C375" i="11"/>
  <c r="F374" i="11"/>
  <c r="E374" i="11"/>
  <c r="D374" i="11"/>
  <c r="C374" i="11"/>
  <c r="F373" i="11"/>
  <c r="E373" i="11"/>
  <c r="D373" i="11"/>
  <c r="C373" i="11"/>
  <c r="F372" i="11"/>
  <c r="E372" i="11"/>
  <c r="D372" i="11"/>
  <c r="C372" i="11"/>
  <c r="F371" i="11"/>
  <c r="E371" i="11"/>
  <c r="D371" i="11"/>
  <c r="C371" i="11"/>
  <c r="F370" i="11"/>
  <c r="E370" i="11"/>
  <c r="D370" i="11"/>
  <c r="C370" i="11"/>
  <c r="F369" i="11"/>
  <c r="E369" i="11"/>
  <c r="D369" i="11"/>
  <c r="C369" i="11"/>
  <c r="F368" i="11"/>
  <c r="E368" i="11"/>
  <c r="D368" i="11"/>
  <c r="C368" i="11"/>
  <c r="F367" i="11"/>
  <c r="E367" i="11"/>
  <c r="D367" i="11"/>
  <c r="C367" i="11"/>
  <c r="F366" i="11"/>
  <c r="E366" i="11"/>
  <c r="D366" i="11"/>
  <c r="C366" i="11"/>
  <c r="F365" i="11"/>
  <c r="E365" i="11"/>
  <c r="D365" i="11"/>
  <c r="C365" i="11"/>
  <c r="F364" i="11"/>
  <c r="E364" i="11"/>
  <c r="D364" i="11"/>
  <c r="C364" i="11"/>
  <c r="F363" i="11"/>
  <c r="E363" i="11"/>
  <c r="D363" i="11"/>
  <c r="C363" i="11"/>
  <c r="F362" i="11"/>
  <c r="E362" i="11"/>
  <c r="D362" i="11"/>
  <c r="C362" i="11"/>
  <c r="F361" i="11"/>
  <c r="E361" i="11"/>
  <c r="D361" i="11"/>
  <c r="C361" i="11"/>
  <c r="F360" i="11"/>
  <c r="E360" i="11"/>
  <c r="D360" i="11"/>
  <c r="C360" i="11"/>
  <c r="F359" i="11"/>
  <c r="E359" i="11"/>
  <c r="D359" i="11"/>
  <c r="C359" i="11"/>
  <c r="F358" i="11"/>
  <c r="E358" i="11"/>
  <c r="D358" i="11"/>
  <c r="C358" i="11"/>
  <c r="F357" i="11"/>
  <c r="E357" i="11"/>
  <c r="D357" i="11"/>
  <c r="C357" i="11"/>
  <c r="F356" i="11"/>
  <c r="E356" i="11"/>
  <c r="D356" i="11"/>
  <c r="C356" i="11"/>
  <c r="F355" i="11"/>
  <c r="E355" i="11"/>
  <c r="D355" i="11"/>
  <c r="C355" i="11"/>
  <c r="F354" i="11"/>
  <c r="E354" i="11"/>
  <c r="D354" i="11"/>
  <c r="C354" i="11"/>
  <c r="F353" i="11"/>
  <c r="E353" i="11"/>
  <c r="D353" i="11"/>
  <c r="C353" i="11"/>
  <c r="F352" i="11"/>
  <c r="E352" i="11"/>
  <c r="D352" i="11"/>
  <c r="C352" i="11"/>
  <c r="F351" i="11"/>
  <c r="E351" i="11"/>
  <c r="D351" i="11"/>
  <c r="C351" i="11"/>
  <c r="F350" i="11"/>
  <c r="E350" i="11"/>
  <c r="D350" i="11"/>
  <c r="C350" i="11"/>
  <c r="F349" i="11"/>
  <c r="E349" i="11"/>
  <c r="D349" i="11"/>
  <c r="C349" i="11"/>
  <c r="F348" i="11"/>
  <c r="E348" i="11"/>
  <c r="D348" i="11"/>
  <c r="C348" i="11"/>
  <c r="F347" i="11"/>
  <c r="E347" i="11"/>
  <c r="D347" i="11"/>
  <c r="C347" i="11"/>
  <c r="F346" i="11"/>
  <c r="E346" i="11"/>
  <c r="D346" i="11"/>
  <c r="C346" i="11"/>
  <c r="F345" i="11"/>
  <c r="E345" i="11"/>
  <c r="D345" i="11"/>
  <c r="C345" i="11"/>
  <c r="F344" i="11"/>
  <c r="E344" i="11"/>
  <c r="D344" i="11"/>
  <c r="C344" i="11"/>
  <c r="F343" i="11"/>
  <c r="E343" i="11"/>
  <c r="D343" i="11"/>
  <c r="C343" i="11"/>
  <c r="F342" i="11"/>
  <c r="E342" i="11"/>
  <c r="D342" i="11"/>
  <c r="C342" i="11"/>
  <c r="F341" i="11"/>
  <c r="E341" i="11"/>
  <c r="D341" i="11"/>
  <c r="C341" i="11"/>
  <c r="F340" i="11"/>
  <c r="E340" i="11"/>
  <c r="D340" i="11"/>
  <c r="C340" i="11"/>
  <c r="F339" i="11"/>
  <c r="E339" i="11"/>
  <c r="D339" i="11"/>
  <c r="C339" i="11"/>
  <c r="F338" i="11"/>
  <c r="E338" i="11"/>
  <c r="D338" i="11"/>
  <c r="C338" i="11"/>
  <c r="F337" i="11"/>
  <c r="E337" i="11"/>
  <c r="D337" i="11"/>
  <c r="C337" i="11"/>
  <c r="F336" i="11"/>
  <c r="E336" i="11"/>
  <c r="D336" i="11"/>
  <c r="C336" i="11"/>
  <c r="F335" i="11"/>
  <c r="E335" i="11"/>
  <c r="D335" i="11"/>
  <c r="C335" i="11"/>
  <c r="F334" i="11"/>
  <c r="E334" i="11"/>
  <c r="D334" i="11"/>
  <c r="C334" i="11"/>
  <c r="F333" i="11"/>
  <c r="E333" i="11"/>
  <c r="D333" i="11"/>
  <c r="C333" i="11"/>
  <c r="F332" i="11"/>
  <c r="E332" i="11"/>
  <c r="D332" i="11"/>
  <c r="C332" i="11"/>
  <c r="F331" i="11"/>
  <c r="E331" i="11"/>
  <c r="D331" i="11"/>
  <c r="C331" i="11"/>
  <c r="F330" i="11"/>
  <c r="E330" i="11"/>
  <c r="D330" i="11"/>
  <c r="C330" i="11"/>
  <c r="F329" i="11"/>
  <c r="E329" i="11"/>
  <c r="D329" i="11"/>
  <c r="C329" i="11"/>
  <c r="F328" i="11"/>
  <c r="E328" i="11"/>
  <c r="D328" i="11"/>
  <c r="C328" i="11"/>
  <c r="F327" i="11"/>
  <c r="E327" i="11"/>
  <c r="D327" i="11"/>
  <c r="C327" i="11"/>
  <c r="F326" i="11"/>
  <c r="E326" i="11"/>
  <c r="D326" i="11"/>
  <c r="C326" i="11"/>
  <c r="F325" i="11"/>
  <c r="E325" i="11"/>
  <c r="D325" i="11"/>
  <c r="C325" i="11"/>
  <c r="F324" i="11"/>
  <c r="E324" i="11"/>
  <c r="D324" i="11"/>
  <c r="C324" i="11"/>
  <c r="F323" i="11"/>
  <c r="E323" i="11"/>
  <c r="D323" i="11"/>
  <c r="C323" i="11"/>
  <c r="F322" i="11"/>
  <c r="E322" i="11"/>
  <c r="D322" i="11"/>
  <c r="C322" i="11"/>
  <c r="F321" i="11"/>
  <c r="E321" i="11"/>
  <c r="D321" i="11"/>
  <c r="C321" i="11"/>
  <c r="F320" i="11"/>
  <c r="E320" i="11"/>
  <c r="D320" i="11"/>
  <c r="C320" i="11"/>
  <c r="F319" i="11"/>
  <c r="E319" i="11"/>
  <c r="D319" i="11"/>
  <c r="C319" i="11"/>
  <c r="F318" i="11"/>
  <c r="E318" i="11"/>
  <c r="D318" i="11"/>
  <c r="C318" i="11"/>
  <c r="F317" i="11"/>
  <c r="E317" i="11"/>
  <c r="D317" i="11"/>
  <c r="C317" i="11"/>
  <c r="F316" i="11"/>
  <c r="E316" i="11"/>
  <c r="D316" i="11"/>
  <c r="C316" i="11"/>
  <c r="F315" i="11"/>
  <c r="E315" i="11"/>
  <c r="D315" i="11"/>
  <c r="C315" i="11"/>
  <c r="F314" i="11"/>
  <c r="E314" i="11"/>
  <c r="D314" i="11"/>
  <c r="C314" i="11"/>
  <c r="F313" i="11"/>
  <c r="E313" i="11"/>
  <c r="D313" i="11"/>
  <c r="C313" i="11"/>
  <c r="F312" i="11"/>
  <c r="E312" i="11"/>
  <c r="D312" i="11"/>
  <c r="C312" i="11"/>
  <c r="F311" i="11"/>
  <c r="E311" i="11"/>
  <c r="D311" i="11"/>
  <c r="C311" i="11"/>
  <c r="F310" i="11"/>
  <c r="E310" i="11"/>
  <c r="D310" i="11"/>
  <c r="C310" i="11"/>
  <c r="F309" i="11"/>
  <c r="E309" i="11"/>
  <c r="D309" i="11"/>
  <c r="C309" i="11"/>
  <c r="F308" i="11"/>
  <c r="E308" i="11"/>
  <c r="D308" i="11"/>
  <c r="C308" i="11"/>
  <c r="F307" i="11"/>
  <c r="E307" i="11"/>
  <c r="D307" i="11"/>
  <c r="C307" i="11"/>
  <c r="F306" i="11"/>
  <c r="E306" i="11"/>
  <c r="D306" i="11"/>
  <c r="C306" i="11"/>
  <c r="F305" i="11"/>
  <c r="E305" i="11"/>
  <c r="D305" i="11"/>
  <c r="C305" i="11"/>
  <c r="F304" i="11"/>
  <c r="E304" i="11"/>
  <c r="D304" i="11"/>
  <c r="C304" i="11"/>
  <c r="F303" i="11"/>
  <c r="E303" i="11"/>
  <c r="D303" i="11"/>
  <c r="C303" i="11"/>
  <c r="F302" i="11"/>
  <c r="E302" i="11"/>
  <c r="D302" i="11"/>
  <c r="C302" i="11"/>
  <c r="F301" i="11"/>
  <c r="E301" i="11"/>
  <c r="D301" i="11"/>
  <c r="C301" i="11"/>
  <c r="F300" i="11"/>
  <c r="E300" i="11"/>
  <c r="D300" i="11"/>
  <c r="C300" i="11"/>
  <c r="F299" i="11"/>
  <c r="E299" i="11"/>
  <c r="D299" i="11"/>
  <c r="C299" i="11"/>
  <c r="F298" i="11"/>
  <c r="E298" i="11"/>
  <c r="D298" i="11"/>
  <c r="C298" i="11"/>
  <c r="F297" i="11"/>
  <c r="E297" i="11"/>
  <c r="D297" i="11"/>
  <c r="C297" i="11"/>
  <c r="F296" i="11"/>
  <c r="E296" i="11"/>
  <c r="D296" i="11"/>
  <c r="C296" i="11"/>
  <c r="F295" i="11"/>
  <c r="E295" i="11"/>
  <c r="D295" i="11"/>
  <c r="C295" i="11"/>
  <c r="F294" i="11"/>
  <c r="E294" i="11"/>
  <c r="D294" i="11"/>
  <c r="C294" i="11"/>
  <c r="F293" i="11"/>
  <c r="E293" i="11"/>
  <c r="D293" i="11"/>
  <c r="C293" i="11"/>
  <c r="F292" i="11"/>
  <c r="E292" i="11"/>
  <c r="D292" i="11"/>
  <c r="C292" i="11"/>
  <c r="F291" i="11"/>
  <c r="E291" i="11"/>
  <c r="D291" i="11"/>
  <c r="C291" i="11"/>
  <c r="F290" i="11"/>
  <c r="E290" i="11"/>
  <c r="D290" i="11"/>
  <c r="C290" i="11"/>
  <c r="F289" i="11"/>
  <c r="E289" i="11"/>
  <c r="D289" i="11"/>
  <c r="C289" i="11"/>
  <c r="F288" i="11"/>
  <c r="E288" i="11"/>
  <c r="D288" i="11"/>
  <c r="C288" i="11"/>
  <c r="F287" i="11"/>
  <c r="E287" i="11"/>
  <c r="D287" i="11"/>
  <c r="C287" i="11"/>
  <c r="F286" i="11"/>
  <c r="E286" i="11"/>
  <c r="D286" i="11"/>
  <c r="C286" i="11"/>
  <c r="F285" i="11"/>
  <c r="E285" i="11"/>
  <c r="D285" i="11"/>
  <c r="C285" i="11"/>
  <c r="F284" i="11"/>
  <c r="E284" i="11"/>
  <c r="D284" i="11"/>
  <c r="C284" i="11"/>
  <c r="F283" i="11"/>
  <c r="E283" i="11"/>
  <c r="D283" i="11"/>
  <c r="C283" i="11"/>
  <c r="F282" i="11"/>
  <c r="E282" i="11"/>
  <c r="D282" i="11"/>
  <c r="C282" i="11"/>
  <c r="F281" i="11"/>
  <c r="E281" i="11"/>
  <c r="D281" i="11"/>
  <c r="C281" i="11"/>
  <c r="F280" i="11"/>
  <c r="E280" i="11"/>
  <c r="D280" i="11"/>
  <c r="C280" i="11"/>
  <c r="F279" i="11"/>
  <c r="E279" i="11"/>
  <c r="D279" i="11"/>
  <c r="C279" i="11"/>
  <c r="F278" i="11"/>
  <c r="E278" i="11"/>
  <c r="D278" i="11"/>
  <c r="C278" i="11"/>
  <c r="F277" i="11"/>
  <c r="E277" i="11"/>
  <c r="D277" i="11"/>
  <c r="C277" i="11"/>
  <c r="F276" i="11"/>
  <c r="E276" i="11"/>
  <c r="D276" i="11"/>
  <c r="C276" i="11"/>
  <c r="F275" i="11"/>
  <c r="E275" i="11"/>
  <c r="D275" i="11"/>
  <c r="C275" i="11"/>
  <c r="F274" i="11"/>
  <c r="E274" i="11"/>
  <c r="D274" i="11"/>
  <c r="C274" i="11"/>
  <c r="F273" i="11"/>
  <c r="E273" i="11"/>
  <c r="D273" i="11"/>
  <c r="C273" i="11"/>
  <c r="F272" i="11"/>
  <c r="E272" i="11"/>
  <c r="D272" i="11"/>
  <c r="C272" i="11"/>
  <c r="F271" i="11"/>
  <c r="E271" i="11"/>
  <c r="D271" i="11"/>
  <c r="C271" i="11"/>
  <c r="F270" i="11"/>
  <c r="E270" i="11"/>
  <c r="D270" i="11"/>
  <c r="C270" i="11"/>
  <c r="F269" i="11"/>
  <c r="E269" i="11"/>
  <c r="D269" i="11"/>
  <c r="C269" i="11"/>
  <c r="F268" i="11"/>
  <c r="E268" i="11"/>
  <c r="D268" i="11"/>
  <c r="C268" i="11"/>
  <c r="F267" i="11"/>
  <c r="E267" i="11"/>
  <c r="D267" i="11"/>
  <c r="C267" i="11"/>
  <c r="F266" i="11"/>
  <c r="E266" i="11"/>
  <c r="D266" i="11"/>
  <c r="C266" i="11"/>
  <c r="F265" i="11"/>
  <c r="E265" i="11"/>
  <c r="D265" i="11"/>
  <c r="C265" i="11"/>
  <c r="F264" i="11"/>
  <c r="E264" i="11"/>
  <c r="D264" i="11"/>
  <c r="C264" i="11"/>
  <c r="F263" i="11"/>
  <c r="E263" i="11"/>
  <c r="D263" i="11"/>
  <c r="C263" i="11"/>
  <c r="F262" i="11"/>
  <c r="E262" i="11"/>
  <c r="D262" i="11"/>
  <c r="C262" i="11"/>
  <c r="F261" i="11"/>
  <c r="E261" i="11"/>
  <c r="D261" i="11"/>
  <c r="C261" i="11"/>
  <c r="F260" i="11"/>
  <c r="E260" i="11"/>
  <c r="D260" i="11"/>
  <c r="C260" i="11"/>
  <c r="F259" i="11"/>
  <c r="E259" i="11"/>
  <c r="D259" i="11"/>
  <c r="C259" i="11"/>
  <c r="F258" i="11"/>
  <c r="E258" i="11"/>
  <c r="D258" i="11"/>
  <c r="C258" i="11"/>
  <c r="F257" i="11"/>
  <c r="E257" i="11"/>
  <c r="D257" i="11"/>
  <c r="C257" i="11"/>
  <c r="F256" i="11"/>
  <c r="E256" i="11"/>
  <c r="D256" i="11"/>
  <c r="C256" i="11"/>
  <c r="F255" i="11"/>
  <c r="E255" i="11"/>
  <c r="D255" i="11"/>
  <c r="C255" i="11"/>
  <c r="F254" i="11"/>
  <c r="E254" i="11"/>
  <c r="D254" i="11"/>
  <c r="C254" i="11"/>
  <c r="F253" i="11"/>
  <c r="E253" i="11"/>
  <c r="D253" i="11"/>
  <c r="C253" i="11"/>
  <c r="F252" i="11"/>
  <c r="E252" i="11"/>
  <c r="D252" i="11"/>
  <c r="C252" i="11"/>
  <c r="F251" i="11"/>
  <c r="E251" i="11"/>
  <c r="D251" i="11"/>
  <c r="C251" i="11"/>
  <c r="F250" i="11"/>
  <c r="E250" i="11"/>
  <c r="D250" i="11"/>
  <c r="C250" i="11"/>
  <c r="F249" i="11"/>
  <c r="E249" i="11"/>
  <c r="D249" i="11"/>
  <c r="C249" i="11"/>
  <c r="F248" i="11"/>
  <c r="E248" i="11"/>
  <c r="D248" i="11"/>
  <c r="C248" i="11"/>
  <c r="F247" i="11"/>
  <c r="E247" i="11"/>
  <c r="D247" i="11"/>
  <c r="C247" i="11"/>
  <c r="F246" i="11"/>
  <c r="E246" i="11"/>
  <c r="D246" i="11"/>
  <c r="C246" i="11"/>
  <c r="F245" i="11"/>
  <c r="E245" i="11"/>
  <c r="D245" i="11"/>
  <c r="C245" i="11"/>
  <c r="F244" i="11"/>
  <c r="E244" i="11"/>
  <c r="D244" i="11"/>
  <c r="C244" i="11"/>
  <c r="F243" i="11"/>
  <c r="E243" i="11"/>
  <c r="D243" i="11"/>
  <c r="C243" i="11"/>
  <c r="F242" i="11"/>
  <c r="E242" i="11"/>
  <c r="D242" i="11"/>
  <c r="C242" i="11"/>
  <c r="F241" i="11"/>
  <c r="E241" i="11"/>
  <c r="D241" i="11"/>
  <c r="C241" i="11"/>
  <c r="F240" i="11"/>
  <c r="E240" i="11"/>
  <c r="D240" i="11"/>
  <c r="C240" i="11"/>
  <c r="F239" i="11"/>
  <c r="E239" i="11"/>
  <c r="D239" i="11"/>
  <c r="C239" i="11"/>
  <c r="F238" i="11"/>
  <c r="E238" i="11"/>
  <c r="D238" i="11"/>
  <c r="C238" i="11"/>
  <c r="F237" i="11"/>
  <c r="E237" i="11"/>
  <c r="D237" i="11"/>
  <c r="C237" i="11"/>
  <c r="F236" i="11"/>
  <c r="E236" i="11"/>
  <c r="D236" i="11"/>
  <c r="C236" i="11"/>
  <c r="F235" i="11"/>
  <c r="E235" i="11"/>
  <c r="D235" i="11"/>
  <c r="C235" i="11"/>
  <c r="F234" i="11"/>
  <c r="E234" i="11"/>
  <c r="D234" i="11"/>
  <c r="C234" i="11"/>
  <c r="F233" i="11"/>
  <c r="E233" i="11"/>
  <c r="D233" i="11"/>
  <c r="C233" i="11"/>
  <c r="F232" i="11"/>
  <c r="E232" i="11"/>
  <c r="D232" i="11"/>
  <c r="C232" i="11"/>
  <c r="F231" i="11"/>
  <c r="E231" i="11"/>
  <c r="D231" i="11"/>
  <c r="C231" i="11"/>
  <c r="F230" i="11"/>
  <c r="E230" i="11"/>
  <c r="D230" i="11"/>
  <c r="C230" i="11"/>
  <c r="F229" i="11"/>
  <c r="E229" i="11"/>
  <c r="D229" i="11"/>
  <c r="C229" i="11"/>
  <c r="F228" i="11"/>
  <c r="E228" i="11"/>
  <c r="D228" i="11"/>
  <c r="C228" i="11"/>
  <c r="F227" i="11"/>
  <c r="E227" i="11"/>
  <c r="D227" i="11"/>
  <c r="C227" i="11"/>
  <c r="F226" i="11"/>
  <c r="E226" i="11"/>
  <c r="D226" i="11"/>
  <c r="C226" i="11"/>
  <c r="F225" i="11"/>
  <c r="E225" i="11"/>
  <c r="D225" i="11"/>
  <c r="C225" i="11"/>
  <c r="F224" i="11"/>
  <c r="E224" i="11"/>
  <c r="D224" i="11"/>
  <c r="C224" i="11"/>
  <c r="F223" i="11"/>
  <c r="E223" i="11"/>
  <c r="D223" i="11"/>
  <c r="C223" i="11"/>
  <c r="F222" i="11"/>
  <c r="E222" i="11"/>
  <c r="D222" i="11"/>
  <c r="C222" i="11"/>
  <c r="F221" i="11"/>
  <c r="E221" i="11"/>
  <c r="D221" i="11"/>
  <c r="C221" i="11"/>
  <c r="F220" i="11"/>
  <c r="E220" i="11"/>
  <c r="D220" i="11"/>
  <c r="C220" i="11"/>
  <c r="F219" i="11"/>
  <c r="E219" i="11"/>
  <c r="D219" i="11"/>
  <c r="C219" i="11"/>
  <c r="F218" i="11"/>
  <c r="E218" i="11"/>
  <c r="D218" i="11"/>
  <c r="C218" i="11"/>
  <c r="F217" i="11"/>
  <c r="E217" i="11"/>
  <c r="D217" i="11"/>
  <c r="C217" i="11"/>
  <c r="F216" i="11"/>
  <c r="E216" i="11"/>
  <c r="D216" i="11"/>
  <c r="C216" i="11"/>
  <c r="F215" i="11"/>
  <c r="E215" i="11"/>
  <c r="D215" i="11"/>
  <c r="C215" i="11"/>
  <c r="F214" i="11"/>
  <c r="E214" i="11"/>
  <c r="D214" i="11"/>
  <c r="C214" i="11"/>
  <c r="F213" i="11"/>
  <c r="E213" i="11"/>
  <c r="D213" i="11"/>
  <c r="C213" i="11"/>
  <c r="F212" i="11"/>
  <c r="E212" i="11"/>
  <c r="D212" i="11"/>
  <c r="C212" i="11"/>
  <c r="F211" i="11"/>
  <c r="E211" i="11"/>
  <c r="D211" i="11"/>
  <c r="C211" i="11"/>
  <c r="F210" i="11"/>
  <c r="E210" i="11"/>
  <c r="D210" i="11"/>
  <c r="C210" i="11"/>
  <c r="F209" i="11"/>
  <c r="E209" i="11"/>
  <c r="D209" i="11"/>
  <c r="C209" i="11"/>
  <c r="F208" i="11"/>
  <c r="E208" i="11"/>
  <c r="D208" i="11"/>
  <c r="C208" i="11"/>
  <c r="F207" i="11"/>
  <c r="E207" i="11"/>
  <c r="D207" i="11"/>
  <c r="C207" i="11"/>
  <c r="F206" i="11"/>
  <c r="E206" i="11"/>
  <c r="D206" i="11"/>
  <c r="C206" i="11"/>
  <c r="F205" i="11"/>
  <c r="E205" i="11"/>
  <c r="D205" i="11"/>
  <c r="C205" i="11"/>
  <c r="F204" i="11"/>
  <c r="E204" i="11"/>
  <c r="D204" i="11"/>
  <c r="C204" i="11"/>
  <c r="F203" i="11"/>
  <c r="E203" i="11"/>
  <c r="D203" i="11"/>
  <c r="C203" i="11"/>
  <c r="F202" i="11"/>
  <c r="E202" i="11"/>
  <c r="D202" i="11"/>
  <c r="C202" i="11"/>
  <c r="F201" i="11"/>
  <c r="E201" i="11"/>
  <c r="D201" i="11"/>
  <c r="C201" i="11"/>
  <c r="F200" i="11"/>
  <c r="E200" i="11"/>
  <c r="D200" i="11"/>
  <c r="C200" i="11"/>
  <c r="F199" i="11"/>
  <c r="E199" i="11"/>
  <c r="D199" i="11"/>
  <c r="C199" i="11"/>
  <c r="F198" i="11"/>
  <c r="E198" i="11"/>
  <c r="D198" i="11"/>
  <c r="C198" i="11"/>
  <c r="F197" i="11"/>
  <c r="E197" i="11"/>
  <c r="D197" i="11"/>
  <c r="C197" i="11"/>
  <c r="F196" i="11"/>
  <c r="E196" i="11"/>
  <c r="D196" i="11"/>
  <c r="C196" i="11"/>
  <c r="F195" i="11"/>
  <c r="E195" i="11"/>
  <c r="D195" i="11"/>
  <c r="C195" i="11"/>
  <c r="F194" i="11"/>
  <c r="E194" i="11"/>
  <c r="D194" i="11"/>
  <c r="C194" i="11"/>
  <c r="F193" i="11"/>
  <c r="E193" i="11"/>
  <c r="D193" i="11"/>
  <c r="C193" i="11"/>
  <c r="F192" i="11"/>
  <c r="E192" i="11"/>
  <c r="D192" i="11"/>
  <c r="C192" i="11"/>
  <c r="F191" i="11"/>
  <c r="E191" i="11"/>
  <c r="D191" i="11"/>
  <c r="C191" i="11"/>
  <c r="F190" i="11"/>
  <c r="E190" i="11"/>
  <c r="D190" i="11"/>
  <c r="C190" i="11"/>
  <c r="F189" i="11"/>
  <c r="E189" i="11"/>
  <c r="D189" i="11"/>
  <c r="C189" i="11"/>
  <c r="F188" i="11"/>
  <c r="E188" i="11"/>
  <c r="D188" i="11"/>
  <c r="C188" i="11"/>
  <c r="F187" i="11"/>
  <c r="E187" i="11"/>
  <c r="D187" i="11"/>
  <c r="C187" i="11"/>
  <c r="F186" i="11"/>
  <c r="E186" i="11"/>
  <c r="D186" i="11"/>
  <c r="C186" i="11"/>
  <c r="F185" i="11"/>
  <c r="E185" i="11"/>
  <c r="D185" i="11"/>
  <c r="C185" i="11"/>
  <c r="F184" i="11"/>
  <c r="E184" i="11"/>
  <c r="D184" i="11"/>
  <c r="C184" i="11"/>
  <c r="F183" i="11"/>
  <c r="E183" i="11"/>
  <c r="D183" i="11"/>
  <c r="C183" i="11"/>
  <c r="F182" i="11"/>
  <c r="E182" i="11"/>
  <c r="D182" i="11"/>
  <c r="C182" i="11"/>
  <c r="F181" i="11"/>
  <c r="E181" i="11"/>
  <c r="D181" i="11"/>
  <c r="C181" i="11"/>
  <c r="F180" i="11"/>
  <c r="E180" i="11"/>
  <c r="D180" i="11"/>
  <c r="C180" i="11"/>
  <c r="F179" i="11"/>
  <c r="E179" i="11"/>
  <c r="D179" i="11"/>
  <c r="C179" i="11"/>
  <c r="F178" i="11"/>
  <c r="E178" i="11"/>
  <c r="D178" i="11"/>
  <c r="C178" i="11"/>
  <c r="F177" i="11"/>
  <c r="E177" i="11"/>
  <c r="D177" i="11"/>
  <c r="C177" i="11"/>
  <c r="F176" i="11"/>
  <c r="E176" i="11"/>
  <c r="D176" i="11"/>
  <c r="C176" i="11"/>
  <c r="F175" i="11"/>
  <c r="E175" i="11"/>
  <c r="D175" i="11"/>
  <c r="C175" i="11"/>
  <c r="F174" i="11"/>
  <c r="E174" i="11"/>
  <c r="D174" i="11"/>
  <c r="C174" i="11"/>
  <c r="F173" i="11"/>
  <c r="E173" i="11"/>
  <c r="D173" i="11"/>
  <c r="C173" i="11"/>
  <c r="F172" i="11"/>
  <c r="E172" i="11"/>
  <c r="D172" i="11"/>
  <c r="C172" i="11"/>
  <c r="F171" i="11"/>
  <c r="E171" i="11"/>
  <c r="D171" i="11"/>
  <c r="C171" i="11"/>
  <c r="F170" i="11"/>
  <c r="E170" i="11"/>
  <c r="D170" i="11"/>
  <c r="C170" i="11"/>
  <c r="F169" i="11"/>
  <c r="E169" i="11"/>
  <c r="D169" i="11"/>
  <c r="C169" i="11"/>
  <c r="F168" i="11"/>
  <c r="E168" i="11"/>
  <c r="D168" i="11"/>
  <c r="C168" i="11"/>
  <c r="F167" i="11"/>
  <c r="E167" i="11"/>
  <c r="D167" i="11"/>
  <c r="C167" i="11"/>
  <c r="F166" i="11"/>
  <c r="E166" i="11"/>
  <c r="D166" i="11"/>
  <c r="C166" i="11"/>
  <c r="F165" i="11"/>
  <c r="E165" i="11"/>
  <c r="D165" i="11"/>
  <c r="C165" i="11"/>
  <c r="F164" i="11"/>
  <c r="E164" i="11"/>
  <c r="D164" i="11"/>
  <c r="C164" i="11"/>
  <c r="F163" i="11"/>
  <c r="E163" i="11"/>
  <c r="D163" i="11"/>
  <c r="C163" i="11"/>
  <c r="F162" i="11"/>
  <c r="E162" i="11"/>
  <c r="D162" i="11"/>
  <c r="C162" i="11"/>
  <c r="F161" i="11"/>
  <c r="E161" i="11"/>
  <c r="D161" i="11"/>
  <c r="C161" i="11"/>
  <c r="F160" i="11"/>
  <c r="E160" i="11"/>
  <c r="D160" i="11"/>
  <c r="C160" i="11"/>
  <c r="F159" i="11"/>
  <c r="E159" i="11"/>
  <c r="D159" i="11"/>
  <c r="C159" i="11"/>
  <c r="F158" i="11"/>
  <c r="E158" i="11"/>
  <c r="D158" i="11"/>
  <c r="C158" i="11"/>
  <c r="F157" i="11"/>
  <c r="E157" i="11"/>
  <c r="D157" i="11"/>
  <c r="C157" i="11"/>
  <c r="F156" i="11"/>
  <c r="E156" i="11"/>
  <c r="D156" i="11"/>
  <c r="C156" i="11"/>
  <c r="F155" i="11"/>
  <c r="E155" i="11"/>
  <c r="D155" i="11"/>
  <c r="C155" i="11"/>
  <c r="F154" i="11"/>
  <c r="E154" i="11"/>
  <c r="D154" i="11"/>
  <c r="C154" i="11"/>
  <c r="F153" i="11"/>
  <c r="E153" i="11"/>
  <c r="D153" i="11"/>
  <c r="C153" i="11"/>
  <c r="F152" i="11"/>
  <c r="E152" i="11"/>
  <c r="D152" i="11"/>
  <c r="C152" i="11"/>
  <c r="F151" i="11"/>
  <c r="E151" i="11"/>
  <c r="D151" i="11"/>
  <c r="C151" i="11"/>
  <c r="F150" i="11"/>
  <c r="E150" i="11"/>
  <c r="D150" i="11"/>
  <c r="C150" i="11"/>
  <c r="F149" i="11"/>
  <c r="E149" i="11"/>
  <c r="D149" i="11"/>
  <c r="C149" i="11"/>
  <c r="F148" i="11"/>
  <c r="E148" i="11"/>
  <c r="D148" i="11"/>
  <c r="C148" i="11"/>
  <c r="F147" i="11"/>
  <c r="E147" i="11"/>
  <c r="D147" i="11"/>
  <c r="C147" i="11"/>
  <c r="F146" i="11"/>
  <c r="E146" i="11"/>
  <c r="D146" i="11"/>
  <c r="C146" i="11"/>
  <c r="F145" i="11"/>
  <c r="E145" i="11"/>
  <c r="D145" i="11"/>
  <c r="C145" i="11"/>
  <c r="F144" i="11"/>
  <c r="E144" i="11"/>
  <c r="D144" i="11"/>
  <c r="C144" i="11"/>
  <c r="F143" i="11"/>
  <c r="E143" i="11"/>
  <c r="D143" i="11"/>
  <c r="C143" i="11"/>
  <c r="F142" i="11"/>
  <c r="E142" i="11"/>
  <c r="D142" i="11"/>
  <c r="C142" i="11"/>
  <c r="F141" i="11"/>
  <c r="E141" i="11"/>
  <c r="D141" i="11"/>
  <c r="C141" i="11"/>
  <c r="F140" i="11"/>
  <c r="E140" i="11"/>
  <c r="D140" i="11"/>
  <c r="C140" i="11"/>
  <c r="F139" i="11"/>
  <c r="E139" i="11"/>
  <c r="D139" i="11"/>
  <c r="C139" i="11"/>
  <c r="F138" i="11"/>
  <c r="E138" i="11"/>
  <c r="D138" i="11"/>
  <c r="C138" i="11"/>
  <c r="F137" i="11"/>
  <c r="E137" i="11"/>
  <c r="D137" i="11"/>
  <c r="C137" i="11"/>
  <c r="F136" i="11"/>
  <c r="E136" i="11"/>
  <c r="D136" i="11"/>
  <c r="C136" i="11"/>
  <c r="F135" i="11"/>
  <c r="E135" i="11"/>
  <c r="D135" i="11"/>
  <c r="C135" i="11"/>
  <c r="F134" i="11"/>
  <c r="E134" i="11"/>
  <c r="D134" i="11"/>
  <c r="C134" i="11"/>
  <c r="F133" i="11"/>
  <c r="E133" i="11"/>
  <c r="D133" i="11"/>
  <c r="C133" i="11"/>
  <c r="F132" i="11"/>
  <c r="E132" i="11"/>
  <c r="D132" i="11"/>
  <c r="C132" i="11"/>
  <c r="F131" i="11"/>
  <c r="E131" i="11"/>
  <c r="D131" i="11"/>
  <c r="C131" i="11"/>
  <c r="F130" i="11"/>
  <c r="E130" i="11"/>
  <c r="D130" i="11"/>
  <c r="C130" i="11"/>
  <c r="F129" i="11"/>
  <c r="E129" i="11"/>
  <c r="D129" i="11"/>
  <c r="C129" i="11"/>
  <c r="F128" i="11"/>
  <c r="E128" i="11"/>
  <c r="D128" i="11"/>
  <c r="C128" i="11"/>
  <c r="F127" i="11"/>
  <c r="E127" i="11"/>
  <c r="D127" i="11"/>
  <c r="C127" i="11"/>
  <c r="F126" i="11"/>
  <c r="E126" i="11"/>
  <c r="D126" i="11"/>
  <c r="C126" i="11"/>
  <c r="F125" i="11"/>
  <c r="E125" i="11"/>
  <c r="D125" i="11"/>
  <c r="C125" i="11"/>
  <c r="F124" i="11"/>
  <c r="E124" i="11"/>
  <c r="D124" i="11"/>
  <c r="C124" i="11"/>
  <c r="F123" i="11"/>
  <c r="E123" i="11"/>
  <c r="D123" i="11"/>
  <c r="C123" i="11"/>
  <c r="F122" i="11"/>
  <c r="E122" i="11"/>
  <c r="D122" i="11"/>
  <c r="C122" i="11"/>
  <c r="F121" i="11"/>
  <c r="E121" i="11"/>
  <c r="D121" i="11"/>
  <c r="C121" i="11"/>
  <c r="F120" i="11"/>
  <c r="E120" i="11"/>
  <c r="D120" i="11"/>
  <c r="C120" i="11"/>
  <c r="F119" i="11"/>
  <c r="E119" i="11"/>
  <c r="D119" i="11"/>
  <c r="C119" i="11"/>
  <c r="F118" i="11"/>
  <c r="E118" i="11"/>
  <c r="D118" i="11"/>
  <c r="C118" i="11"/>
  <c r="F117" i="11"/>
  <c r="E117" i="11"/>
  <c r="D117" i="11"/>
  <c r="C117" i="11"/>
  <c r="F116" i="11"/>
  <c r="E116" i="11"/>
  <c r="D116" i="11"/>
  <c r="C116" i="11"/>
  <c r="F115" i="11"/>
  <c r="E115" i="11"/>
  <c r="D115" i="11"/>
  <c r="C115" i="11"/>
  <c r="F114" i="11"/>
  <c r="E114" i="11"/>
  <c r="D114" i="11"/>
  <c r="C114" i="11"/>
  <c r="F113" i="11"/>
  <c r="E113" i="11"/>
  <c r="D113" i="11"/>
  <c r="C113" i="11"/>
  <c r="F112" i="11"/>
  <c r="E112" i="11"/>
  <c r="D112" i="11"/>
  <c r="C112" i="11"/>
  <c r="F111" i="11"/>
  <c r="E111" i="11"/>
  <c r="D111" i="11"/>
  <c r="C111" i="11"/>
  <c r="F110" i="11"/>
  <c r="E110" i="11"/>
  <c r="D110" i="11"/>
  <c r="C110" i="11"/>
  <c r="F109" i="11"/>
  <c r="E109" i="11"/>
  <c r="D109" i="11"/>
  <c r="C109" i="11"/>
  <c r="F108" i="11"/>
  <c r="E108" i="11"/>
  <c r="D108" i="11"/>
  <c r="C108" i="11"/>
  <c r="F107" i="11"/>
  <c r="E107" i="11"/>
  <c r="D107" i="11"/>
  <c r="C107" i="11"/>
  <c r="F106" i="11"/>
  <c r="E106" i="11"/>
  <c r="D106" i="11"/>
  <c r="C106" i="11"/>
  <c r="F105" i="11"/>
  <c r="E105" i="11"/>
  <c r="D105" i="11"/>
  <c r="C105" i="11"/>
  <c r="F104" i="11"/>
  <c r="E104" i="11"/>
  <c r="D104" i="11"/>
  <c r="C104" i="11"/>
  <c r="F103" i="11"/>
  <c r="E103" i="11"/>
  <c r="D103" i="11"/>
  <c r="C103" i="11"/>
  <c r="F102" i="11"/>
  <c r="E102" i="11"/>
  <c r="D102" i="11"/>
  <c r="C102" i="11"/>
  <c r="F101" i="11"/>
  <c r="E101" i="11"/>
  <c r="D101" i="11"/>
  <c r="C101" i="11"/>
  <c r="F100" i="11"/>
  <c r="E100" i="11"/>
  <c r="D100" i="11"/>
  <c r="C100" i="11"/>
  <c r="F99" i="11"/>
  <c r="E99" i="11"/>
  <c r="D99" i="11"/>
  <c r="C99" i="11"/>
  <c r="F98" i="11"/>
  <c r="E98" i="11"/>
  <c r="D98" i="11"/>
  <c r="C98" i="11"/>
  <c r="F97" i="11"/>
  <c r="E97" i="11"/>
  <c r="D97" i="11"/>
  <c r="C97" i="11"/>
  <c r="F96" i="11"/>
  <c r="E96" i="11"/>
  <c r="D96" i="11"/>
  <c r="C96" i="11"/>
  <c r="F95" i="11"/>
  <c r="E95" i="11"/>
  <c r="D95" i="11"/>
  <c r="C95" i="11"/>
  <c r="F94" i="11"/>
  <c r="E94" i="11"/>
  <c r="D94" i="11"/>
  <c r="C94" i="11"/>
  <c r="F93" i="11"/>
  <c r="E93" i="11"/>
  <c r="D93" i="11"/>
  <c r="C93" i="11"/>
  <c r="F92" i="11"/>
  <c r="E92" i="11"/>
  <c r="D92" i="11"/>
  <c r="C92" i="11"/>
  <c r="F91" i="11"/>
  <c r="E91" i="11"/>
  <c r="D91" i="11"/>
  <c r="C91" i="11"/>
  <c r="F90" i="11"/>
  <c r="E90" i="11"/>
  <c r="D90" i="11"/>
  <c r="C90" i="11"/>
  <c r="F89" i="11"/>
  <c r="E89" i="11"/>
  <c r="D89" i="11"/>
  <c r="C89" i="11"/>
  <c r="F88" i="11"/>
  <c r="E88" i="11"/>
  <c r="D88" i="11"/>
  <c r="C88" i="11"/>
  <c r="F87" i="11"/>
  <c r="E87" i="11"/>
  <c r="D87" i="11"/>
  <c r="C87" i="11"/>
  <c r="F86" i="11"/>
  <c r="E86" i="11"/>
  <c r="D86" i="11"/>
  <c r="C86" i="11"/>
  <c r="F85" i="11"/>
  <c r="E85" i="11"/>
  <c r="D85" i="11"/>
  <c r="C85" i="11"/>
  <c r="F84" i="11"/>
  <c r="E84" i="11"/>
  <c r="D84" i="11"/>
  <c r="C84" i="11"/>
  <c r="F83" i="11"/>
  <c r="E83" i="11"/>
  <c r="D83" i="11"/>
  <c r="C83" i="11"/>
  <c r="F82" i="11"/>
  <c r="E82" i="11"/>
  <c r="D82" i="11"/>
  <c r="C82" i="11"/>
  <c r="F81" i="11"/>
  <c r="E81" i="11"/>
  <c r="D81" i="11"/>
  <c r="C81" i="11"/>
  <c r="F80" i="11"/>
  <c r="E80" i="11"/>
  <c r="D80" i="11"/>
  <c r="C80" i="11"/>
  <c r="F79" i="11"/>
  <c r="E79" i="11"/>
  <c r="D79" i="11"/>
  <c r="C79" i="11"/>
  <c r="F78" i="11"/>
  <c r="E78" i="11"/>
  <c r="D78" i="11"/>
  <c r="C78" i="11"/>
  <c r="F77" i="11"/>
  <c r="E77" i="11"/>
  <c r="D77" i="11"/>
  <c r="C77" i="11"/>
  <c r="F76" i="11"/>
  <c r="E76" i="11"/>
  <c r="D76" i="11"/>
  <c r="C76" i="11"/>
  <c r="F75" i="11"/>
  <c r="E75" i="11"/>
  <c r="D75" i="11"/>
  <c r="C75" i="11"/>
  <c r="F74" i="11"/>
  <c r="E74" i="11"/>
  <c r="D74" i="11"/>
  <c r="C74" i="11"/>
  <c r="F73" i="11"/>
  <c r="E73" i="11"/>
  <c r="D73" i="11"/>
  <c r="C73" i="11"/>
  <c r="F72" i="11"/>
  <c r="E72" i="11"/>
  <c r="D72" i="11"/>
  <c r="C72" i="11"/>
  <c r="F71" i="11"/>
  <c r="E71" i="11"/>
  <c r="D71" i="11"/>
  <c r="C71" i="11"/>
  <c r="F70" i="11"/>
  <c r="E70" i="11"/>
  <c r="D70" i="11"/>
  <c r="C70" i="11"/>
  <c r="F69" i="11"/>
  <c r="E69" i="11"/>
  <c r="D69" i="11"/>
  <c r="C69" i="11"/>
  <c r="F68" i="11"/>
  <c r="E68" i="11"/>
  <c r="D68" i="11"/>
  <c r="C68" i="11"/>
  <c r="F67" i="11"/>
  <c r="E67" i="11"/>
  <c r="D67" i="11"/>
  <c r="C67" i="11"/>
  <c r="F66" i="11"/>
  <c r="E66" i="11"/>
  <c r="D66" i="11"/>
  <c r="C66" i="11"/>
  <c r="F65" i="11"/>
  <c r="E65" i="11"/>
  <c r="D65" i="11"/>
  <c r="C65" i="11"/>
  <c r="F64" i="11"/>
  <c r="E64" i="11"/>
  <c r="D64" i="11"/>
  <c r="C64" i="11"/>
  <c r="F63" i="11"/>
  <c r="E63" i="11"/>
  <c r="D63" i="11"/>
  <c r="C63" i="11"/>
  <c r="F62" i="11"/>
  <c r="E62" i="11"/>
  <c r="D62" i="11"/>
  <c r="C62" i="11"/>
  <c r="F61" i="11"/>
  <c r="E61" i="11"/>
  <c r="D61" i="11"/>
  <c r="C61" i="11"/>
  <c r="F60" i="11"/>
  <c r="E60" i="11"/>
  <c r="D60" i="11"/>
  <c r="C60" i="11"/>
  <c r="F59" i="11"/>
  <c r="E59" i="11"/>
  <c r="D59" i="11"/>
  <c r="C59" i="11"/>
  <c r="F58" i="11"/>
  <c r="E58" i="11"/>
  <c r="D58" i="11"/>
  <c r="C58" i="11"/>
  <c r="F57" i="11"/>
  <c r="E57" i="11"/>
  <c r="D57" i="11"/>
  <c r="C57" i="11"/>
  <c r="F56" i="11"/>
  <c r="E56" i="11"/>
  <c r="D56" i="11"/>
  <c r="C56" i="11"/>
  <c r="F55" i="11"/>
  <c r="E55" i="11"/>
  <c r="D55" i="11"/>
  <c r="C55" i="11"/>
  <c r="F54" i="11"/>
  <c r="E54" i="11"/>
  <c r="D54" i="11"/>
  <c r="C54" i="11"/>
  <c r="F53" i="11"/>
  <c r="E53" i="11"/>
  <c r="D53" i="11"/>
  <c r="C53" i="11"/>
  <c r="F52" i="11"/>
  <c r="E52" i="11"/>
  <c r="D52" i="11"/>
  <c r="C52" i="11"/>
  <c r="F51" i="11"/>
  <c r="E51" i="11"/>
  <c r="D51" i="11"/>
  <c r="C51" i="11"/>
  <c r="F50" i="11"/>
  <c r="E50" i="11"/>
  <c r="D50" i="11"/>
  <c r="C50" i="11"/>
  <c r="F49" i="11"/>
  <c r="E49" i="11"/>
  <c r="D49" i="11"/>
  <c r="C49" i="11"/>
  <c r="F48" i="11"/>
  <c r="E48" i="11"/>
  <c r="D48" i="11"/>
  <c r="C48" i="11"/>
  <c r="F47" i="11"/>
  <c r="E47" i="11"/>
  <c r="D47" i="11"/>
  <c r="C47" i="11"/>
  <c r="F46" i="11"/>
  <c r="E46" i="11"/>
  <c r="D46" i="11"/>
  <c r="C46" i="11"/>
  <c r="F45" i="11"/>
  <c r="E45" i="11"/>
  <c r="D45" i="11"/>
  <c r="C45" i="11"/>
  <c r="F44" i="11"/>
  <c r="E44" i="11"/>
  <c r="D44" i="11"/>
  <c r="C44" i="11"/>
  <c r="F43" i="11"/>
  <c r="E43" i="11"/>
  <c r="D43" i="11"/>
  <c r="C43" i="11"/>
  <c r="F42" i="11"/>
  <c r="E42" i="11"/>
  <c r="D42" i="11"/>
  <c r="C42" i="11"/>
  <c r="F41" i="11"/>
  <c r="E41" i="11"/>
  <c r="D41" i="11"/>
  <c r="C41" i="11"/>
  <c r="E40" i="11"/>
  <c r="D40" i="11"/>
  <c r="C40" i="11"/>
  <c r="E39" i="11"/>
  <c r="D39" i="11"/>
  <c r="C39" i="11"/>
  <c r="E38" i="11"/>
  <c r="C38" i="11"/>
  <c r="E37" i="11"/>
  <c r="D37" i="11"/>
  <c r="C37" i="11"/>
  <c r="E36" i="11"/>
  <c r="C36" i="11"/>
  <c r="E35" i="11"/>
  <c r="C35" i="11"/>
  <c r="E34" i="11"/>
  <c r="D34" i="11"/>
  <c r="C34" i="11"/>
  <c r="E33" i="11"/>
  <c r="C33" i="11"/>
  <c r="E32" i="11"/>
  <c r="C32" i="11"/>
  <c r="E31" i="11"/>
  <c r="C31" i="11"/>
  <c r="E30" i="11"/>
  <c r="D30" i="11"/>
  <c r="C30" i="11"/>
  <c r="E29" i="11"/>
  <c r="C29" i="11"/>
  <c r="E28" i="11"/>
  <c r="C28" i="11"/>
  <c r="E27" i="11"/>
  <c r="C27" i="11"/>
  <c r="E26" i="11"/>
  <c r="C26" i="11"/>
  <c r="E25" i="11"/>
  <c r="C25" i="11"/>
  <c r="E24" i="11"/>
  <c r="C24" i="11"/>
  <c r="E23" i="11"/>
  <c r="D23" i="11"/>
  <c r="C23" i="11"/>
  <c r="E22" i="11"/>
  <c r="C22" i="11"/>
  <c r="E21" i="11"/>
  <c r="C21" i="11"/>
  <c r="E20" i="11"/>
  <c r="C20" i="11"/>
  <c r="E19" i="11"/>
  <c r="C19" i="11"/>
  <c r="E18" i="11"/>
  <c r="C18" i="11"/>
  <c r="E17" i="11"/>
  <c r="C17" i="11"/>
  <c r="E16" i="11"/>
  <c r="C16" i="11"/>
  <c r="E15" i="11"/>
  <c r="C15" i="11"/>
  <c r="E14" i="11"/>
  <c r="C14" i="11"/>
  <c r="E13" i="11"/>
  <c r="C13" i="11"/>
  <c r="E12" i="11"/>
  <c r="C12" i="11"/>
  <c r="E11" i="11"/>
  <c r="C11" i="11"/>
  <c r="E10" i="11"/>
  <c r="C10" i="11"/>
  <c r="E9" i="11"/>
  <c r="C9" i="11"/>
  <c r="E8" i="11"/>
  <c r="C8" i="11"/>
  <c r="E7" i="11"/>
  <c r="C7" i="11"/>
  <c r="E6" i="11"/>
  <c r="C6" i="11"/>
  <c r="E5" i="11"/>
  <c r="C5" i="11"/>
  <c r="B3" i="11"/>
  <c r="D21" i="10"/>
  <c r="D18" i="10"/>
  <c r="D19" i="10" s="1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J9" i="6"/>
  <c r="I9" i="6"/>
  <c r="C9" i="6"/>
  <c r="J8" i="6"/>
  <c r="I8" i="6"/>
  <c r="C8" i="6"/>
  <c r="J7" i="6"/>
  <c r="I7" i="6"/>
  <c r="C7" i="6"/>
  <c r="J6" i="6"/>
  <c r="I6" i="6"/>
  <c r="C6" i="6"/>
  <c r="J5" i="6"/>
  <c r="I5" i="6"/>
  <c r="C5" i="6"/>
  <c r="J4" i="6"/>
  <c r="I4" i="6"/>
  <c r="C4" i="6"/>
  <c r="J3" i="6"/>
  <c r="I3" i="6"/>
  <c r="C3" i="6"/>
  <c r="K1146" i="5"/>
  <c r="J1146" i="5"/>
  <c r="G1146" i="5"/>
  <c r="F1146" i="5"/>
  <c r="H1146" i="5" s="1"/>
  <c r="K1145" i="5"/>
  <c r="J1145" i="5"/>
  <c r="F1145" i="5" s="1"/>
  <c r="H1145" i="5" s="1"/>
  <c r="G1145" i="5"/>
  <c r="I1145" i="5" s="1"/>
  <c r="K1144" i="5"/>
  <c r="J1144" i="5"/>
  <c r="G1144" i="5"/>
  <c r="F1144" i="5"/>
  <c r="H1144" i="5" s="1"/>
  <c r="K1143" i="5"/>
  <c r="J1143" i="5"/>
  <c r="G1143" i="5"/>
  <c r="F1143" i="5"/>
  <c r="H1143" i="5" s="1"/>
  <c r="K1142" i="5"/>
  <c r="J1142" i="5"/>
  <c r="G1142" i="5"/>
  <c r="F1142" i="5"/>
  <c r="H1142" i="5" s="1"/>
  <c r="K1141" i="5"/>
  <c r="J1141" i="5"/>
  <c r="G1141" i="5"/>
  <c r="F1141" i="5"/>
  <c r="H1141" i="5" s="1"/>
  <c r="K1140" i="5"/>
  <c r="J1140" i="5"/>
  <c r="G1140" i="5"/>
  <c r="F1140" i="5"/>
  <c r="H1140" i="5" s="1"/>
  <c r="I1140" i="5" s="1"/>
  <c r="K1139" i="5"/>
  <c r="J1139" i="5"/>
  <c r="G1139" i="5"/>
  <c r="F1139" i="5"/>
  <c r="H1139" i="5" s="1"/>
  <c r="I1139" i="5" s="1"/>
  <c r="K1138" i="5"/>
  <c r="J1138" i="5"/>
  <c r="G1138" i="5"/>
  <c r="F1138" i="5"/>
  <c r="H1138" i="5" s="1"/>
  <c r="I1138" i="5" s="1"/>
  <c r="K1137" i="5"/>
  <c r="J1137" i="5"/>
  <c r="F1137" i="5" s="1"/>
  <c r="H1137" i="5" s="1"/>
  <c r="I1137" i="5" s="1"/>
  <c r="G1137" i="5"/>
  <c r="K1136" i="5"/>
  <c r="J1136" i="5"/>
  <c r="G1136" i="5"/>
  <c r="F1136" i="5"/>
  <c r="H1136" i="5" s="1"/>
  <c r="K1135" i="5"/>
  <c r="J1135" i="5"/>
  <c r="F1135" i="5" s="1"/>
  <c r="H1135" i="5" s="1"/>
  <c r="G1135" i="5"/>
  <c r="K1134" i="5"/>
  <c r="J1134" i="5"/>
  <c r="G1134" i="5"/>
  <c r="F1134" i="5"/>
  <c r="H1134" i="5" s="1"/>
  <c r="I1134" i="5" s="1"/>
  <c r="K1133" i="5"/>
  <c r="J1133" i="5"/>
  <c r="G1133" i="5"/>
  <c r="F1133" i="5"/>
  <c r="H1133" i="5" s="1"/>
  <c r="K1132" i="5"/>
  <c r="J1132" i="5"/>
  <c r="G1132" i="5"/>
  <c r="F1132" i="5"/>
  <c r="H1132" i="5" s="1"/>
  <c r="K1131" i="5"/>
  <c r="J1131" i="5"/>
  <c r="G1131" i="5"/>
  <c r="F1131" i="5"/>
  <c r="H1131" i="5" s="1"/>
  <c r="K1130" i="5"/>
  <c r="J1130" i="5"/>
  <c r="G1130" i="5"/>
  <c r="F1130" i="5"/>
  <c r="H1130" i="5" s="1"/>
  <c r="K1129" i="5"/>
  <c r="J1129" i="5"/>
  <c r="F1129" i="5" s="1"/>
  <c r="H1129" i="5" s="1"/>
  <c r="G1129" i="5"/>
  <c r="K1128" i="5"/>
  <c r="J1128" i="5"/>
  <c r="G1128" i="5"/>
  <c r="F1128" i="5"/>
  <c r="H1128" i="5" s="1"/>
  <c r="K1127" i="5"/>
  <c r="J1127" i="5"/>
  <c r="F1127" i="5" s="1"/>
  <c r="H1127" i="5" s="1"/>
  <c r="I1127" i="5" s="1"/>
  <c r="G1127" i="5"/>
  <c r="K1126" i="5"/>
  <c r="J1126" i="5"/>
  <c r="G1126" i="5"/>
  <c r="F1126" i="5"/>
  <c r="H1126" i="5" s="1"/>
  <c r="I1126" i="5" s="1"/>
  <c r="K1125" i="5"/>
  <c r="J1125" i="5"/>
  <c r="F1125" i="5" s="1"/>
  <c r="H1125" i="5" s="1"/>
  <c r="I1125" i="5" s="1"/>
  <c r="G1125" i="5"/>
  <c r="K1124" i="5"/>
  <c r="J1124" i="5"/>
  <c r="G1124" i="5"/>
  <c r="F1124" i="5"/>
  <c r="H1124" i="5" s="1"/>
  <c r="I1124" i="5" s="1"/>
  <c r="K1123" i="5"/>
  <c r="J1123" i="5"/>
  <c r="G1123" i="5"/>
  <c r="F1123" i="5"/>
  <c r="H1123" i="5" s="1"/>
  <c r="K1122" i="5"/>
  <c r="J1122" i="5"/>
  <c r="G1122" i="5"/>
  <c r="F1122" i="5"/>
  <c r="H1122" i="5" s="1"/>
  <c r="I1122" i="5" s="1"/>
  <c r="K1121" i="5"/>
  <c r="J1121" i="5"/>
  <c r="G1121" i="5"/>
  <c r="F1121" i="5"/>
  <c r="H1121" i="5" s="1"/>
  <c r="K1120" i="5"/>
  <c r="J1120" i="5"/>
  <c r="G1120" i="5"/>
  <c r="F1120" i="5"/>
  <c r="H1120" i="5" s="1"/>
  <c r="K1119" i="5"/>
  <c r="J1119" i="5"/>
  <c r="G1119" i="5"/>
  <c r="F1119" i="5"/>
  <c r="H1119" i="5" s="1"/>
  <c r="K1118" i="5"/>
  <c r="J1118" i="5"/>
  <c r="G1118" i="5"/>
  <c r="F1118" i="5"/>
  <c r="H1118" i="5" s="1"/>
  <c r="K1117" i="5"/>
  <c r="J1117" i="5"/>
  <c r="G1117" i="5"/>
  <c r="F1117" i="5"/>
  <c r="H1117" i="5" s="1"/>
  <c r="K1116" i="5"/>
  <c r="J1116" i="5"/>
  <c r="G1116" i="5"/>
  <c r="F1116" i="5"/>
  <c r="H1116" i="5" s="1"/>
  <c r="I1116" i="5" s="1"/>
  <c r="K1115" i="5"/>
  <c r="J1115" i="5"/>
  <c r="F1115" i="5" s="1"/>
  <c r="H1115" i="5" s="1"/>
  <c r="I1115" i="5" s="1"/>
  <c r="G1115" i="5"/>
  <c r="K1114" i="5"/>
  <c r="J1114" i="5"/>
  <c r="G1114" i="5"/>
  <c r="F1114" i="5"/>
  <c r="H1114" i="5" s="1"/>
  <c r="I1114" i="5" s="1"/>
  <c r="K1113" i="5"/>
  <c r="J1113" i="5"/>
  <c r="F1113" i="5" s="1"/>
  <c r="H1113" i="5" s="1"/>
  <c r="I1113" i="5" s="1"/>
  <c r="G1113" i="5"/>
  <c r="K1112" i="5"/>
  <c r="J1112" i="5"/>
  <c r="G1112" i="5"/>
  <c r="F1112" i="5"/>
  <c r="H1112" i="5" s="1"/>
  <c r="I1112" i="5" s="1"/>
  <c r="K1111" i="5"/>
  <c r="J1111" i="5"/>
  <c r="F1111" i="5" s="1"/>
  <c r="H1111" i="5" s="1"/>
  <c r="G1111" i="5"/>
  <c r="K1110" i="5"/>
  <c r="J1110" i="5"/>
  <c r="G1110" i="5"/>
  <c r="F1110" i="5"/>
  <c r="H1110" i="5" s="1"/>
  <c r="K1109" i="5"/>
  <c r="J1109" i="5"/>
  <c r="G1109" i="5"/>
  <c r="F1109" i="5"/>
  <c r="H1109" i="5" s="1"/>
  <c r="K1108" i="5"/>
  <c r="J1108" i="5"/>
  <c r="G1108" i="5"/>
  <c r="F1108" i="5"/>
  <c r="H1108" i="5" s="1"/>
  <c r="I1108" i="5" s="1"/>
  <c r="K1107" i="5"/>
  <c r="J1107" i="5"/>
  <c r="G1107" i="5"/>
  <c r="F1107" i="5"/>
  <c r="H1107" i="5" s="1"/>
  <c r="K1106" i="5"/>
  <c r="J1106" i="5"/>
  <c r="G1106" i="5"/>
  <c r="F1106" i="5"/>
  <c r="H1106" i="5" s="1"/>
  <c r="K1105" i="5"/>
  <c r="J1105" i="5"/>
  <c r="F1105" i="5" s="1"/>
  <c r="H1105" i="5" s="1"/>
  <c r="G1105" i="5"/>
  <c r="K1104" i="5"/>
  <c r="J1104" i="5"/>
  <c r="G1104" i="5"/>
  <c r="F1104" i="5"/>
  <c r="H1104" i="5" s="1"/>
  <c r="K1103" i="5"/>
  <c r="J1103" i="5"/>
  <c r="F1103" i="5" s="1"/>
  <c r="H1103" i="5" s="1"/>
  <c r="I1103" i="5" s="1"/>
  <c r="G1103" i="5"/>
  <c r="K1102" i="5"/>
  <c r="J1102" i="5"/>
  <c r="G1102" i="5"/>
  <c r="F1102" i="5"/>
  <c r="H1102" i="5" s="1"/>
  <c r="I1102" i="5" s="1"/>
  <c r="K1101" i="5"/>
  <c r="J1101" i="5"/>
  <c r="F1101" i="5" s="1"/>
  <c r="H1101" i="5" s="1"/>
  <c r="G1101" i="5"/>
  <c r="I1101" i="5" s="1"/>
  <c r="K1100" i="5"/>
  <c r="J1100" i="5"/>
  <c r="G1100" i="5"/>
  <c r="F1100" i="5"/>
  <c r="H1100" i="5" s="1"/>
  <c r="I1100" i="5" s="1"/>
  <c r="K1099" i="5"/>
  <c r="J1099" i="5"/>
  <c r="F1099" i="5" s="1"/>
  <c r="H1099" i="5" s="1"/>
  <c r="I1099" i="5" s="1"/>
  <c r="G1099" i="5"/>
  <c r="K1098" i="5"/>
  <c r="J1098" i="5"/>
  <c r="G1098" i="5"/>
  <c r="F1098" i="5"/>
  <c r="H1098" i="5" s="1"/>
  <c r="I1098" i="5" s="1"/>
  <c r="K1097" i="5"/>
  <c r="J1097" i="5"/>
  <c r="F1097" i="5" s="1"/>
  <c r="H1097" i="5" s="1"/>
  <c r="G1097" i="5"/>
  <c r="K1096" i="5"/>
  <c r="J1096" i="5"/>
  <c r="G1096" i="5"/>
  <c r="F1096" i="5"/>
  <c r="H1096" i="5" s="1"/>
  <c r="K1095" i="5"/>
  <c r="J1095" i="5"/>
  <c r="G1095" i="5"/>
  <c r="F1095" i="5"/>
  <c r="H1095" i="5" s="1"/>
  <c r="I1095" i="5" s="1"/>
  <c r="K1094" i="5"/>
  <c r="J1094" i="5"/>
  <c r="G1094" i="5"/>
  <c r="F1094" i="5"/>
  <c r="H1094" i="5" s="1"/>
  <c r="K1093" i="5"/>
  <c r="J1093" i="5"/>
  <c r="G1093" i="5"/>
  <c r="F1093" i="5"/>
  <c r="H1093" i="5" s="1"/>
  <c r="K1092" i="5"/>
  <c r="J1092" i="5"/>
  <c r="G1092" i="5"/>
  <c r="F1092" i="5"/>
  <c r="H1092" i="5" s="1"/>
  <c r="I1092" i="5" s="1"/>
  <c r="K1091" i="5"/>
  <c r="J1091" i="5"/>
  <c r="G1091" i="5"/>
  <c r="F1091" i="5"/>
  <c r="H1091" i="5" s="1"/>
  <c r="I1091" i="5" s="1"/>
  <c r="K1090" i="5"/>
  <c r="J1090" i="5"/>
  <c r="G1090" i="5"/>
  <c r="F1090" i="5"/>
  <c r="H1090" i="5" s="1"/>
  <c r="I1090" i="5" s="1"/>
  <c r="K1089" i="5"/>
  <c r="J1089" i="5"/>
  <c r="F1089" i="5" s="1"/>
  <c r="H1089" i="5" s="1"/>
  <c r="I1089" i="5" s="1"/>
  <c r="G1089" i="5"/>
  <c r="K1088" i="5"/>
  <c r="J1088" i="5"/>
  <c r="G1088" i="5"/>
  <c r="F1088" i="5"/>
  <c r="H1088" i="5" s="1"/>
  <c r="I1088" i="5" s="1"/>
  <c r="K1087" i="5"/>
  <c r="J1087" i="5"/>
  <c r="F1087" i="5" s="1"/>
  <c r="H1087" i="5" s="1"/>
  <c r="G1087" i="5"/>
  <c r="K1086" i="5"/>
  <c r="J1086" i="5"/>
  <c r="G1086" i="5"/>
  <c r="F1086" i="5"/>
  <c r="H1086" i="5" s="1"/>
  <c r="K1085" i="5"/>
  <c r="J1085" i="5"/>
  <c r="G1085" i="5"/>
  <c r="F1085" i="5"/>
  <c r="H1085" i="5" s="1"/>
  <c r="I1085" i="5" s="1"/>
  <c r="K1084" i="5"/>
  <c r="J1084" i="5"/>
  <c r="G1084" i="5"/>
  <c r="F1084" i="5"/>
  <c r="H1084" i="5" s="1"/>
  <c r="K1083" i="5"/>
  <c r="J1083" i="5"/>
  <c r="G1083" i="5"/>
  <c r="F1083" i="5"/>
  <c r="H1083" i="5" s="1"/>
  <c r="K1082" i="5"/>
  <c r="J1082" i="5"/>
  <c r="G1082" i="5"/>
  <c r="F1082" i="5"/>
  <c r="H1082" i="5" s="1"/>
  <c r="K1081" i="5"/>
  <c r="J1081" i="5"/>
  <c r="F1081" i="5" s="1"/>
  <c r="H1081" i="5" s="1"/>
  <c r="G1081" i="5"/>
  <c r="K1080" i="5"/>
  <c r="J1080" i="5"/>
  <c r="G1080" i="5"/>
  <c r="F1080" i="5"/>
  <c r="H1080" i="5" s="1"/>
  <c r="K1079" i="5"/>
  <c r="J1079" i="5"/>
  <c r="F1079" i="5" s="1"/>
  <c r="H1079" i="5" s="1"/>
  <c r="I1079" i="5" s="1"/>
  <c r="G1079" i="5"/>
  <c r="K1078" i="5"/>
  <c r="J1078" i="5"/>
  <c r="G1078" i="5"/>
  <c r="F1078" i="5"/>
  <c r="H1078" i="5" s="1"/>
  <c r="I1078" i="5" s="1"/>
  <c r="K1077" i="5"/>
  <c r="J1077" i="5"/>
  <c r="F1077" i="5" s="1"/>
  <c r="H1077" i="5" s="1"/>
  <c r="I1077" i="5" s="1"/>
  <c r="G1077" i="5"/>
  <c r="K1076" i="5"/>
  <c r="J1076" i="5"/>
  <c r="G1076" i="5"/>
  <c r="F1076" i="5"/>
  <c r="H1076" i="5" s="1"/>
  <c r="I1076" i="5" s="1"/>
  <c r="K1075" i="5"/>
  <c r="J1075" i="5"/>
  <c r="G1075" i="5"/>
  <c r="F1075" i="5"/>
  <c r="H1075" i="5" s="1"/>
  <c r="I1075" i="5" s="1"/>
  <c r="K1074" i="5"/>
  <c r="J1074" i="5"/>
  <c r="G1074" i="5"/>
  <c r="F1074" i="5"/>
  <c r="H1074" i="5" s="1"/>
  <c r="K1073" i="5"/>
  <c r="J1073" i="5"/>
  <c r="G1073" i="5"/>
  <c r="F1073" i="5"/>
  <c r="H1073" i="5" s="1"/>
  <c r="K1072" i="5"/>
  <c r="J1072" i="5"/>
  <c r="G1072" i="5"/>
  <c r="F1072" i="5"/>
  <c r="H1072" i="5" s="1"/>
  <c r="K1071" i="5"/>
  <c r="J1071" i="5"/>
  <c r="G1071" i="5"/>
  <c r="F1071" i="5"/>
  <c r="H1071" i="5" s="1"/>
  <c r="I1071" i="5" s="1"/>
  <c r="K1070" i="5"/>
  <c r="J1070" i="5"/>
  <c r="G1070" i="5"/>
  <c r="F1070" i="5"/>
  <c r="H1070" i="5" s="1"/>
  <c r="K1069" i="5"/>
  <c r="J1069" i="5"/>
  <c r="G1069" i="5"/>
  <c r="F1069" i="5"/>
  <c r="H1069" i="5" s="1"/>
  <c r="K1068" i="5"/>
  <c r="J1068" i="5"/>
  <c r="G1068" i="5"/>
  <c r="F1068" i="5"/>
  <c r="H1068" i="5" s="1"/>
  <c r="I1068" i="5" s="1"/>
  <c r="K1067" i="5"/>
  <c r="J1067" i="5"/>
  <c r="G1067" i="5"/>
  <c r="F1067" i="5"/>
  <c r="H1067" i="5" s="1"/>
  <c r="I1067" i="5" s="1"/>
  <c r="K1066" i="5"/>
  <c r="J1066" i="5"/>
  <c r="G1066" i="5"/>
  <c r="F1066" i="5"/>
  <c r="H1066" i="5" s="1"/>
  <c r="I1066" i="5" s="1"/>
  <c r="K1065" i="5"/>
  <c r="J1065" i="5"/>
  <c r="F1065" i="5" s="1"/>
  <c r="H1065" i="5" s="1"/>
  <c r="I1065" i="5" s="1"/>
  <c r="G1065" i="5"/>
  <c r="K1064" i="5"/>
  <c r="J1064" i="5"/>
  <c r="G1064" i="5"/>
  <c r="F1064" i="5"/>
  <c r="H1064" i="5" s="1"/>
  <c r="K1063" i="5"/>
  <c r="J1063" i="5"/>
  <c r="F1063" i="5" s="1"/>
  <c r="H1063" i="5" s="1"/>
  <c r="G1063" i="5"/>
  <c r="K1062" i="5"/>
  <c r="J1062" i="5"/>
  <c r="G1062" i="5"/>
  <c r="F1062" i="5"/>
  <c r="H1062" i="5" s="1"/>
  <c r="I1062" i="5" s="1"/>
  <c r="K1061" i="5"/>
  <c r="J1061" i="5"/>
  <c r="G1061" i="5"/>
  <c r="F1061" i="5"/>
  <c r="H1061" i="5" s="1"/>
  <c r="I1061" i="5" s="1"/>
  <c r="K1060" i="5"/>
  <c r="J1060" i="5"/>
  <c r="G1060" i="5"/>
  <c r="F1060" i="5"/>
  <c r="H1060" i="5" s="1"/>
  <c r="K1059" i="5"/>
  <c r="J1059" i="5"/>
  <c r="G1059" i="5"/>
  <c r="F1059" i="5"/>
  <c r="H1059" i="5" s="1"/>
  <c r="K1058" i="5"/>
  <c r="J1058" i="5"/>
  <c r="G1058" i="5"/>
  <c r="F1058" i="5"/>
  <c r="H1058" i="5" s="1"/>
  <c r="K1057" i="5"/>
  <c r="J1057" i="5"/>
  <c r="F1057" i="5" s="1"/>
  <c r="H1057" i="5" s="1"/>
  <c r="G1057" i="5"/>
  <c r="K1056" i="5"/>
  <c r="J1056" i="5"/>
  <c r="G1056" i="5"/>
  <c r="F1056" i="5"/>
  <c r="H1056" i="5" s="1"/>
  <c r="K1055" i="5"/>
  <c r="J1055" i="5"/>
  <c r="F1055" i="5" s="1"/>
  <c r="H1055" i="5" s="1"/>
  <c r="I1055" i="5" s="1"/>
  <c r="G1055" i="5"/>
  <c r="K1054" i="5"/>
  <c r="J1054" i="5"/>
  <c r="G1054" i="5"/>
  <c r="F1054" i="5"/>
  <c r="H1054" i="5" s="1"/>
  <c r="I1054" i="5" s="1"/>
  <c r="K1053" i="5"/>
  <c r="J1053" i="5"/>
  <c r="F1053" i="5" s="1"/>
  <c r="H1053" i="5" s="1"/>
  <c r="I1053" i="5" s="1"/>
  <c r="G1053" i="5"/>
  <c r="K1052" i="5"/>
  <c r="J1052" i="5"/>
  <c r="G1052" i="5"/>
  <c r="F1052" i="5"/>
  <c r="H1052" i="5" s="1"/>
  <c r="I1052" i="5" s="1"/>
  <c r="K1051" i="5"/>
  <c r="J1051" i="5"/>
  <c r="G1051" i="5"/>
  <c r="F1051" i="5"/>
  <c r="H1051" i="5" s="1"/>
  <c r="K1050" i="5"/>
  <c r="J1050" i="5"/>
  <c r="G1050" i="5"/>
  <c r="F1050" i="5"/>
  <c r="H1050" i="5" s="1"/>
  <c r="I1050" i="5" s="1"/>
  <c r="K1049" i="5"/>
  <c r="J1049" i="5"/>
  <c r="G1049" i="5"/>
  <c r="F1049" i="5"/>
  <c r="H1049" i="5" s="1"/>
  <c r="K1048" i="5"/>
  <c r="J1048" i="5"/>
  <c r="G1048" i="5"/>
  <c r="F1048" i="5"/>
  <c r="H1048" i="5" s="1"/>
  <c r="K1047" i="5"/>
  <c r="J1047" i="5"/>
  <c r="G1047" i="5"/>
  <c r="F1047" i="5"/>
  <c r="H1047" i="5" s="1"/>
  <c r="K1046" i="5"/>
  <c r="J1046" i="5"/>
  <c r="G1046" i="5"/>
  <c r="F1046" i="5"/>
  <c r="H1046" i="5" s="1"/>
  <c r="K1045" i="5"/>
  <c r="J1045" i="5"/>
  <c r="G1045" i="5"/>
  <c r="F1045" i="5"/>
  <c r="H1045" i="5" s="1"/>
  <c r="K1044" i="5"/>
  <c r="J1044" i="5"/>
  <c r="G1044" i="5"/>
  <c r="F1044" i="5"/>
  <c r="H1044" i="5" s="1"/>
  <c r="I1044" i="5" s="1"/>
  <c r="K1043" i="5"/>
  <c r="J1043" i="5"/>
  <c r="G1043" i="5"/>
  <c r="F1043" i="5"/>
  <c r="H1043" i="5" s="1"/>
  <c r="I1043" i="5" s="1"/>
  <c r="K1042" i="5"/>
  <c r="J1042" i="5"/>
  <c r="G1042" i="5"/>
  <c r="F1042" i="5"/>
  <c r="H1042" i="5" s="1"/>
  <c r="I1042" i="5" s="1"/>
  <c r="K1041" i="5"/>
  <c r="J1041" i="5"/>
  <c r="F1041" i="5" s="1"/>
  <c r="H1041" i="5" s="1"/>
  <c r="I1041" i="5" s="1"/>
  <c r="G1041" i="5"/>
  <c r="K1040" i="5"/>
  <c r="J1040" i="5"/>
  <c r="G1040" i="5"/>
  <c r="F1040" i="5"/>
  <c r="H1040" i="5" s="1"/>
  <c r="I1040" i="5" s="1"/>
  <c r="K1039" i="5"/>
  <c r="J1039" i="5"/>
  <c r="F1039" i="5" s="1"/>
  <c r="H1039" i="5" s="1"/>
  <c r="G1039" i="5"/>
  <c r="K1038" i="5"/>
  <c r="J1038" i="5"/>
  <c r="G1038" i="5"/>
  <c r="F1038" i="5"/>
  <c r="H1038" i="5" s="1"/>
  <c r="K1037" i="5"/>
  <c r="J1037" i="5"/>
  <c r="G1037" i="5"/>
  <c r="F1037" i="5"/>
  <c r="H1037" i="5" s="1"/>
  <c r="K1036" i="5"/>
  <c r="J1036" i="5"/>
  <c r="G1036" i="5"/>
  <c r="F1036" i="5"/>
  <c r="H1036" i="5" s="1"/>
  <c r="K1035" i="5"/>
  <c r="J1035" i="5"/>
  <c r="G1035" i="5"/>
  <c r="F1035" i="5"/>
  <c r="H1035" i="5" s="1"/>
  <c r="K1034" i="5"/>
  <c r="J1034" i="5"/>
  <c r="G1034" i="5"/>
  <c r="F1034" i="5"/>
  <c r="H1034" i="5" s="1"/>
  <c r="K1033" i="5"/>
  <c r="J1033" i="5"/>
  <c r="F1033" i="5" s="1"/>
  <c r="H1033" i="5" s="1"/>
  <c r="G1033" i="5"/>
  <c r="K1032" i="5"/>
  <c r="J1032" i="5"/>
  <c r="G1032" i="5"/>
  <c r="F1032" i="5"/>
  <c r="H1032" i="5" s="1"/>
  <c r="K1031" i="5"/>
  <c r="J1031" i="5"/>
  <c r="F1031" i="5" s="1"/>
  <c r="H1031" i="5" s="1"/>
  <c r="I1031" i="5" s="1"/>
  <c r="G1031" i="5"/>
  <c r="K1030" i="5"/>
  <c r="J1030" i="5"/>
  <c r="G1030" i="5"/>
  <c r="F1030" i="5"/>
  <c r="H1030" i="5" s="1"/>
  <c r="I1030" i="5" s="1"/>
  <c r="K1029" i="5"/>
  <c r="J1029" i="5"/>
  <c r="F1029" i="5" s="1"/>
  <c r="H1029" i="5" s="1"/>
  <c r="G1029" i="5"/>
  <c r="K1028" i="5"/>
  <c r="J1028" i="5"/>
  <c r="G1028" i="5"/>
  <c r="F1028" i="5"/>
  <c r="H1028" i="5" s="1"/>
  <c r="I1028" i="5" s="1"/>
  <c r="K1027" i="5"/>
  <c r="J1027" i="5"/>
  <c r="G1027" i="5"/>
  <c r="F1027" i="5"/>
  <c r="H1027" i="5" s="1"/>
  <c r="I1027" i="5" s="1"/>
  <c r="K1026" i="5"/>
  <c r="J1026" i="5"/>
  <c r="G1026" i="5"/>
  <c r="F1026" i="5"/>
  <c r="H1026" i="5" s="1"/>
  <c r="I1026" i="5" s="1"/>
  <c r="K1025" i="5"/>
  <c r="J1025" i="5"/>
  <c r="F1025" i="5" s="1"/>
  <c r="H1025" i="5" s="1"/>
  <c r="G1025" i="5"/>
  <c r="K1024" i="5"/>
  <c r="J1024" i="5"/>
  <c r="G1024" i="5"/>
  <c r="F1024" i="5"/>
  <c r="H1024" i="5" s="1"/>
  <c r="K1023" i="5"/>
  <c r="J1023" i="5"/>
  <c r="G1023" i="5"/>
  <c r="F1023" i="5"/>
  <c r="H1023" i="5" s="1"/>
  <c r="I1023" i="5" s="1"/>
  <c r="K1022" i="5"/>
  <c r="J1022" i="5"/>
  <c r="G1022" i="5"/>
  <c r="F1022" i="5"/>
  <c r="H1022" i="5" s="1"/>
  <c r="K1021" i="5"/>
  <c r="J1021" i="5"/>
  <c r="G1021" i="5"/>
  <c r="F1021" i="5"/>
  <c r="H1021" i="5" s="1"/>
  <c r="K1020" i="5"/>
  <c r="J1020" i="5"/>
  <c r="G1020" i="5"/>
  <c r="F1020" i="5"/>
  <c r="H1020" i="5" s="1"/>
  <c r="I1020" i="5" s="1"/>
  <c r="K1019" i="5"/>
  <c r="J1019" i="5"/>
  <c r="G1019" i="5"/>
  <c r="F1019" i="5"/>
  <c r="H1019" i="5" s="1"/>
  <c r="I1019" i="5" s="1"/>
  <c r="K1018" i="5"/>
  <c r="J1018" i="5"/>
  <c r="G1018" i="5"/>
  <c r="F1018" i="5"/>
  <c r="H1018" i="5" s="1"/>
  <c r="I1018" i="5" s="1"/>
  <c r="K1017" i="5"/>
  <c r="J1017" i="5"/>
  <c r="F1017" i="5" s="1"/>
  <c r="H1017" i="5" s="1"/>
  <c r="I1017" i="5" s="1"/>
  <c r="G1017" i="5"/>
  <c r="K1016" i="5"/>
  <c r="J1016" i="5"/>
  <c r="G1016" i="5"/>
  <c r="F1016" i="5"/>
  <c r="H1016" i="5" s="1"/>
  <c r="I1016" i="5" s="1"/>
  <c r="K1015" i="5"/>
  <c r="J1015" i="5"/>
  <c r="F1015" i="5" s="1"/>
  <c r="H1015" i="5" s="1"/>
  <c r="G1015" i="5"/>
  <c r="K1014" i="5"/>
  <c r="J1014" i="5"/>
  <c r="G1014" i="5"/>
  <c r="F1014" i="5"/>
  <c r="H1014" i="5" s="1"/>
  <c r="K1013" i="5"/>
  <c r="J1013" i="5"/>
  <c r="G1013" i="5"/>
  <c r="F1013" i="5"/>
  <c r="H1013" i="5" s="1"/>
  <c r="I1013" i="5" s="1"/>
  <c r="K1012" i="5"/>
  <c r="J1012" i="5"/>
  <c r="G1012" i="5"/>
  <c r="F1012" i="5"/>
  <c r="H1012" i="5" s="1"/>
  <c r="K1011" i="5"/>
  <c r="J1011" i="5"/>
  <c r="G1011" i="5"/>
  <c r="F1011" i="5"/>
  <c r="H1011" i="5" s="1"/>
  <c r="K1010" i="5"/>
  <c r="J1010" i="5"/>
  <c r="G1010" i="5"/>
  <c r="F1010" i="5"/>
  <c r="H1010" i="5" s="1"/>
  <c r="K1009" i="5"/>
  <c r="J1009" i="5"/>
  <c r="G1009" i="5"/>
  <c r="F1009" i="5"/>
  <c r="H1009" i="5" s="1"/>
  <c r="K1008" i="5"/>
  <c r="J1008" i="5"/>
  <c r="G1008" i="5"/>
  <c r="F1008" i="5"/>
  <c r="H1008" i="5" s="1"/>
  <c r="K1007" i="5"/>
  <c r="J1007" i="5"/>
  <c r="F1007" i="5" s="1"/>
  <c r="H1007" i="5" s="1"/>
  <c r="I1007" i="5" s="1"/>
  <c r="G1007" i="5"/>
  <c r="K1006" i="5"/>
  <c r="J1006" i="5"/>
  <c r="G1006" i="5"/>
  <c r="F1006" i="5"/>
  <c r="H1006" i="5" s="1"/>
  <c r="I1006" i="5" s="1"/>
  <c r="K1005" i="5"/>
  <c r="J1005" i="5"/>
  <c r="F1005" i="5" s="1"/>
  <c r="H1005" i="5" s="1"/>
  <c r="I1005" i="5" s="1"/>
  <c r="G1005" i="5"/>
  <c r="K1004" i="5"/>
  <c r="J1004" i="5"/>
  <c r="G1004" i="5"/>
  <c r="F1004" i="5"/>
  <c r="H1004" i="5" s="1"/>
  <c r="I1004" i="5" s="1"/>
  <c r="K1003" i="5"/>
  <c r="J1003" i="5"/>
  <c r="G1003" i="5"/>
  <c r="F1003" i="5"/>
  <c r="H1003" i="5" s="1"/>
  <c r="I1003" i="5" s="1"/>
  <c r="K1002" i="5"/>
  <c r="J1002" i="5"/>
  <c r="G1002" i="5"/>
  <c r="F1002" i="5"/>
  <c r="H1002" i="5" s="1"/>
  <c r="K1001" i="5"/>
  <c r="J1001" i="5"/>
  <c r="F1001" i="5" s="1"/>
  <c r="H1001" i="5" s="1"/>
  <c r="G1001" i="5"/>
  <c r="K1000" i="5"/>
  <c r="J1000" i="5"/>
  <c r="G1000" i="5"/>
  <c r="F1000" i="5"/>
  <c r="H1000" i="5" s="1"/>
  <c r="K999" i="5"/>
  <c r="J999" i="5"/>
  <c r="G999" i="5"/>
  <c r="F999" i="5"/>
  <c r="H999" i="5" s="1"/>
  <c r="I999" i="5" s="1"/>
  <c r="K998" i="5"/>
  <c r="J998" i="5"/>
  <c r="G998" i="5"/>
  <c r="F998" i="5"/>
  <c r="H998" i="5" s="1"/>
  <c r="K997" i="5"/>
  <c r="J997" i="5"/>
  <c r="G997" i="5"/>
  <c r="F997" i="5"/>
  <c r="H997" i="5" s="1"/>
  <c r="K996" i="5"/>
  <c r="J996" i="5"/>
  <c r="G996" i="5"/>
  <c r="F996" i="5"/>
  <c r="H996" i="5" s="1"/>
  <c r="I996" i="5" s="1"/>
  <c r="K995" i="5"/>
  <c r="J995" i="5"/>
  <c r="G995" i="5"/>
  <c r="F995" i="5"/>
  <c r="H995" i="5" s="1"/>
  <c r="I995" i="5" s="1"/>
  <c r="K994" i="5"/>
  <c r="J994" i="5"/>
  <c r="G994" i="5"/>
  <c r="F994" i="5"/>
  <c r="H994" i="5" s="1"/>
  <c r="I994" i="5" s="1"/>
  <c r="K993" i="5"/>
  <c r="J993" i="5"/>
  <c r="F993" i="5" s="1"/>
  <c r="H993" i="5" s="1"/>
  <c r="I993" i="5" s="1"/>
  <c r="G993" i="5"/>
  <c r="K992" i="5"/>
  <c r="J992" i="5"/>
  <c r="G992" i="5"/>
  <c r="F992" i="5"/>
  <c r="H992" i="5" s="1"/>
  <c r="K991" i="5"/>
  <c r="J991" i="5"/>
  <c r="F991" i="5" s="1"/>
  <c r="H991" i="5" s="1"/>
  <c r="G991" i="5"/>
  <c r="K990" i="5"/>
  <c r="J990" i="5"/>
  <c r="G990" i="5"/>
  <c r="F990" i="5"/>
  <c r="H990" i="5" s="1"/>
  <c r="I990" i="5" s="1"/>
  <c r="K989" i="5"/>
  <c r="J989" i="5"/>
  <c r="G989" i="5"/>
  <c r="F989" i="5"/>
  <c r="H989" i="5" s="1"/>
  <c r="I989" i="5" s="1"/>
  <c r="K988" i="5"/>
  <c r="J988" i="5"/>
  <c r="G988" i="5"/>
  <c r="F988" i="5"/>
  <c r="H988" i="5" s="1"/>
  <c r="K987" i="5"/>
  <c r="J987" i="5"/>
  <c r="G987" i="5"/>
  <c r="F987" i="5"/>
  <c r="H987" i="5" s="1"/>
  <c r="K986" i="5"/>
  <c r="J986" i="5"/>
  <c r="G986" i="5"/>
  <c r="F986" i="5"/>
  <c r="H986" i="5" s="1"/>
  <c r="K985" i="5"/>
  <c r="J985" i="5"/>
  <c r="F985" i="5" s="1"/>
  <c r="H985" i="5" s="1"/>
  <c r="G985" i="5"/>
  <c r="K984" i="5"/>
  <c r="J984" i="5"/>
  <c r="G984" i="5"/>
  <c r="F984" i="5"/>
  <c r="H984" i="5" s="1"/>
  <c r="K983" i="5"/>
  <c r="J983" i="5"/>
  <c r="F983" i="5" s="1"/>
  <c r="H983" i="5" s="1"/>
  <c r="I983" i="5" s="1"/>
  <c r="G983" i="5"/>
  <c r="K982" i="5"/>
  <c r="J982" i="5"/>
  <c r="G982" i="5"/>
  <c r="F982" i="5"/>
  <c r="H982" i="5" s="1"/>
  <c r="I982" i="5" s="1"/>
  <c r="K981" i="5"/>
  <c r="J981" i="5"/>
  <c r="F981" i="5" s="1"/>
  <c r="H981" i="5" s="1"/>
  <c r="I981" i="5" s="1"/>
  <c r="G981" i="5"/>
  <c r="K980" i="5"/>
  <c r="J980" i="5"/>
  <c r="G980" i="5"/>
  <c r="F980" i="5"/>
  <c r="H980" i="5" s="1"/>
  <c r="I980" i="5" s="1"/>
  <c r="K979" i="5"/>
  <c r="J979" i="5"/>
  <c r="G979" i="5"/>
  <c r="F979" i="5"/>
  <c r="H979" i="5" s="1"/>
  <c r="K978" i="5"/>
  <c r="J978" i="5"/>
  <c r="G978" i="5"/>
  <c r="F978" i="5"/>
  <c r="H978" i="5" s="1"/>
  <c r="I978" i="5" s="1"/>
  <c r="K977" i="5"/>
  <c r="J977" i="5"/>
  <c r="G977" i="5"/>
  <c r="F977" i="5"/>
  <c r="H977" i="5" s="1"/>
  <c r="K976" i="5"/>
  <c r="J976" i="5"/>
  <c r="G976" i="5"/>
  <c r="F976" i="5"/>
  <c r="H976" i="5" s="1"/>
  <c r="K975" i="5"/>
  <c r="J975" i="5"/>
  <c r="G975" i="5"/>
  <c r="F975" i="5"/>
  <c r="H975" i="5" s="1"/>
  <c r="K974" i="5"/>
  <c r="J974" i="5"/>
  <c r="G974" i="5"/>
  <c r="F974" i="5"/>
  <c r="H974" i="5" s="1"/>
  <c r="K973" i="5"/>
  <c r="J973" i="5"/>
  <c r="G973" i="5"/>
  <c r="F973" i="5"/>
  <c r="H973" i="5" s="1"/>
  <c r="K972" i="5"/>
  <c r="J972" i="5"/>
  <c r="G972" i="5"/>
  <c r="F972" i="5"/>
  <c r="H972" i="5" s="1"/>
  <c r="I972" i="5" s="1"/>
  <c r="K971" i="5"/>
  <c r="J971" i="5"/>
  <c r="F971" i="5" s="1"/>
  <c r="H971" i="5" s="1"/>
  <c r="I971" i="5" s="1"/>
  <c r="G971" i="5"/>
  <c r="K970" i="5"/>
  <c r="J970" i="5"/>
  <c r="G970" i="5"/>
  <c r="F970" i="5"/>
  <c r="H970" i="5" s="1"/>
  <c r="I970" i="5" s="1"/>
  <c r="K969" i="5"/>
  <c r="J969" i="5"/>
  <c r="F969" i="5" s="1"/>
  <c r="H969" i="5" s="1"/>
  <c r="I969" i="5" s="1"/>
  <c r="G969" i="5"/>
  <c r="K968" i="5"/>
  <c r="J968" i="5"/>
  <c r="G968" i="5"/>
  <c r="F968" i="5"/>
  <c r="H968" i="5" s="1"/>
  <c r="I968" i="5" s="1"/>
  <c r="K967" i="5"/>
  <c r="J967" i="5"/>
  <c r="F967" i="5" s="1"/>
  <c r="H967" i="5" s="1"/>
  <c r="G967" i="5"/>
  <c r="K966" i="5"/>
  <c r="J966" i="5"/>
  <c r="G966" i="5"/>
  <c r="F966" i="5"/>
  <c r="H966" i="5" s="1"/>
  <c r="K965" i="5"/>
  <c r="J965" i="5"/>
  <c r="G965" i="5"/>
  <c r="F965" i="5"/>
  <c r="H965" i="5" s="1"/>
  <c r="K964" i="5"/>
  <c r="J964" i="5"/>
  <c r="G964" i="5"/>
  <c r="F964" i="5"/>
  <c r="H964" i="5" s="1"/>
  <c r="K963" i="5"/>
  <c r="J963" i="5"/>
  <c r="G963" i="5"/>
  <c r="F963" i="5"/>
  <c r="H963" i="5" s="1"/>
  <c r="K962" i="5"/>
  <c r="J962" i="5"/>
  <c r="G962" i="5"/>
  <c r="F962" i="5"/>
  <c r="H962" i="5" s="1"/>
  <c r="K961" i="5"/>
  <c r="J961" i="5"/>
  <c r="F961" i="5" s="1"/>
  <c r="H961" i="5" s="1"/>
  <c r="G961" i="5"/>
  <c r="I961" i="5" s="1"/>
  <c r="K960" i="5"/>
  <c r="J960" i="5"/>
  <c r="G960" i="5"/>
  <c r="F960" i="5"/>
  <c r="H960" i="5" s="1"/>
  <c r="K959" i="5"/>
  <c r="J959" i="5"/>
  <c r="F959" i="5" s="1"/>
  <c r="H959" i="5" s="1"/>
  <c r="I959" i="5" s="1"/>
  <c r="G959" i="5"/>
  <c r="K958" i="5"/>
  <c r="J958" i="5"/>
  <c r="G958" i="5"/>
  <c r="F958" i="5"/>
  <c r="H958" i="5" s="1"/>
  <c r="I958" i="5" s="1"/>
  <c r="K957" i="5"/>
  <c r="J957" i="5"/>
  <c r="F957" i="5" s="1"/>
  <c r="H957" i="5" s="1"/>
  <c r="G957" i="5"/>
  <c r="I957" i="5" s="1"/>
  <c r="K956" i="5"/>
  <c r="J956" i="5"/>
  <c r="G956" i="5"/>
  <c r="F956" i="5"/>
  <c r="H956" i="5" s="1"/>
  <c r="I956" i="5" s="1"/>
  <c r="K955" i="5"/>
  <c r="J955" i="5"/>
  <c r="G955" i="5"/>
  <c r="F955" i="5"/>
  <c r="H955" i="5" s="1"/>
  <c r="I955" i="5" s="1"/>
  <c r="K954" i="5"/>
  <c r="J954" i="5"/>
  <c r="G954" i="5"/>
  <c r="F954" i="5"/>
  <c r="H954" i="5" s="1"/>
  <c r="I954" i="5" s="1"/>
  <c r="K953" i="5"/>
  <c r="J953" i="5"/>
  <c r="F953" i="5" s="1"/>
  <c r="H953" i="5" s="1"/>
  <c r="G953" i="5"/>
  <c r="K952" i="5"/>
  <c r="J952" i="5"/>
  <c r="G952" i="5"/>
  <c r="F952" i="5"/>
  <c r="H952" i="5" s="1"/>
  <c r="K951" i="5"/>
  <c r="J951" i="5"/>
  <c r="G951" i="5"/>
  <c r="F951" i="5"/>
  <c r="H951" i="5" s="1"/>
  <c r="I951" i="5" s="1"/>
  <c r="K950" i="5"/>
  <c r="J950" i="5"/>
  <c r="G950" i="5"/>
  <c r="F950" i="5"/>
  <c r="H950" i="5" s="1"/>
  <c r="K949" i="5"/>
  <c r="J949" i="5"/>
  <c r="G949" i="5"/>
  <c r="F949" i="5"/>
  <c r="H949" i="5" s="1"/>
  <c r="K948" i="5"/>
  <c r="J948" i="5"/>
  <c r="G948" i="5"/>
  <c r="F948" i="5"/>
  <c r="H948" i="5" s="1"/>
  <c r="I948" i="5" s="1"/>
  <c r="K947" i="5"/>
  <c r="J947" i="5"/>
  <c r="G947" i="5"/>
  <c r="F947" i="5"/>
  <c r="H947" i="5" s="1"/>
  <c r="I947" i="5" s="1"/>
  <c r="K946" i="5"/>
  <c r="J946" i="5"/>
  <c r="G946" i="5"/>
  <c r="F946" i="5"/>
  <c r="H946" i="5" s="1"/>
  <c r="I946" i="5" s="1"/>
  <c r="K945" i="5"/>
  <c r="J945" i="5"/>
  <c r="F945" i="5" s="1"/>
  <c r="H945" i="5" s="1"/>
  <c r="I945" i="5" s="1"/>
  <c r="G945" i="5"/>
  <c r="K944" i="5"/>
  <c r="J944" i="5"/>
  <c r="G944" i="5"/>
  <c r="F944" i="5"/>
  <c r="H944" i="5" s="1"/>
  <c r="I944" i="5" s="1"/>
  <c r="K943" i="5"/>
  <c r="J943" i="5"/>
  <c r="F943" i="5" s="1"/>
  <c r="H943" i="5" s="1"/>
  <c r="G943" i="5"/>
  <c r="K942" i="5"/>
  <c r="J942" i="5"/>
  <c r="G942" i="5"/>
  <c r="F942" i="5"/>
  <c r="H942" i="5" s="1"/>
  <c r="K941" i="5"/>
  <c r="J941" i="5"/>
  <c r="G941" i="5"/>
  <c r="F941" i="5"/>
  <c r="H941" i="5" s="1"/>
  <c r="I941" i="5" s="1"/>
  <c r="K940" i="5"/>
  <c r="J940" i="5"/>
  <c r="G940" i="5"/>
  <c r="F940" i="5"/>
  <c r="H940" i="5" s="1"/>
  <c r="K939" i="5"/>
  <c r="J939" i="5"/>
  <c r="G939" i="5"/>
  <c r="F939" i="5"/>
  <c r="H939" i="5" s="1"/>
  <c r="K938" i="5"/>
  <c r="J938" i="5"/>
  <c r="G938" i="5"/>
  <c r="F938" i="5"/>
  <c r="H938" i="5" s="1"/>
  <c r="K937" i="5"/>
  <c r="J937" i="5"/>
  <c r="F937" i="5" s="1"/>
  <c r="H937" i="5" s="1"/>
  <c r="G937" i="5"/>
  <c r="K936" i="5"/>
  <c r="J936" i="5"/>
  <c r="G936" i="5"/>
  <c r="F936" i="5"/>
  <c r="H936" i="5" s="1"/>
  <c r="K935" i="5"/>
  <c r="J935" i="5"/>
  <c r="F935" i="5" s="1"/>
  <c r="H935" i="5" s="1"/>
  <c r="I935" i="5" s="1"/>
  <c r="G935" i="5"/>
  <c r="K934" i="5"/>
  <c r="J934" i="5"/>
  <c r="G934" i="5"/>
  <c r="F934" i="5"/>
  <c r="H934" i="5" s="1"/>
  <c r="I934" i="5" s="1"/>
  <c r="K933" i="5"/>
  <c r="J933" i="5"/>
  <c r="F933" i="5" s="1"/>
  <c r="H933" i="5" s="1"/>
  <c r="I933" i="5" s="1"/>
  <c r="G933" i="5"/>
  <c r="K932" i="5"/>
  <c r="J932" i="5"/>
  <c r="G932" i="5"/>
  <c r="F932" i="5"/>
  <c r="H932" i="5" s="1"/>
  <c r="I932" i="5" s="1"/>
  <c r="K931" i="5"/>
  <c r="J931" i="5"/>
  <c r="G931" i="5"/>
  <c r="F931" i="5"/>
  <c r="H931" i="5" s="1"/>
  <c r="I931" i="5" s="1"/>
  <c r="K930" i="5"/>
  <c r="J930" i="5"/>
  <c r="G930" i="5"/>
  <c r="F930" i="5"/>
  <c r="H930" i="5" s="1"/>
  <c r="K929" i="5"/>
  <c r="J929" i="5"/>
  <c r="F929" i="5" s="1"/>
  <c r="H929" i="5" s="1"/>
  <c r="G929" i="5"/>
  <c r="K928" i="5"/>
  <c r="J928" i="5"/>
  <c r="G928" i="5"/>
  <c r="F928" i="5"/>
  <c r="H928" i="5" s="1"/>
  <c r="K927" i="5"/>
  <c r="J927" i="5"/>
  <c r="G927" i="5"/>
  <c r="F927" i="5"/>
  <c r="H927" i="5" s="1"/>
  <c r="K926" i="5"/>
  <c r="J926" i="5"/>
  <c r="G926" i="5"/>
  <c r="F926" i="5"/>
  <c r="H926" i="5" s="1"/>
  <c r="K925" i="5"/>
  <c r="J925" i="5"/>
  <c r="G925" i="5"/>
  <c r="F925" i="5"/>
  <c r="H925" i="5" s="1"/>
  <c r="K924" i="5"/>
  <c r="J924" i="5"/>
  <c r="G924" i="5"/>
  <c r="F924" i="5"/>
  <c r="H924" i="5" s="1"/>
  <c r="I924" i="5" s="1"/>
  <c r="K923" i="5"/>
  <c r="J923" i="5"/>
  <c r="G923" i="5"/>
  <c r="F923" i="5"/>
  <c r="H923" i="5" s="1"/>
  <c r="I923" i="5" s="1"/>
  <c r="K922" i="5"/>
  <c r="J922" i="5"/>
  <c r="G922" i="5"/>
  <c r="F922" i="5"/>
  <c r="H922" i="5" s="1"/>
  <c r="I922" i="5" s="1"/>
  <c r="K921" i="5"/>
  <c r="J921" i="5"/>
  <c r="F921" i="5" s="1"/>
  <c r="H921" i="5" s="1"/>
  <c r="I921" i="5" s="1"/>
  <c r="G921" i="5"/>
  <c r="K920" i="5"/>
  <c r="J920" i="5"/>
  <c r="G920" i="5"/>
  <c r="F920" i="5"/>
  <c r="H920" i="5" s="1"/>
  <c r="K919" i="5"/>
  <c r="J919" i="5"/>
  <c r="F919" i="5" s="1"/>
  <c r="H919" i="5" s="1"/>
  <c r="G919" i="5"/>
  <c r="K918" i="5"/>
  <c r="J918" i="5"/>
  <c r="G918" i="5"/>
  <c r="F918" i="5"/>
  <c r="H918" i="5" s="1"/>
  <c r="I918" i="5" s="1"/>
  <c r="K917" i="5"/>
  <c r="J917" i="5"/>
  <c r="G917" i="5"/>
  <c r="F917" i="5"/>
  <c r="H917" i="5" s="1"/>
  <c r="K916" i="5"/>
  <c r="J916" i="5"/>
  <c r="G916" i="5"/>
  <c r="F916" i="5"/>
  <c r="H916" i="5" s="1"/>
  <c r="K915" i="5"/>
  <c r="J915" i="5"/>
  <c r="G915" i="5"/>
  <c r="F915" i="5"/>
  <c r="H915" i="5" s="1"/>
  <c r="K914" i="5"/>
  <c r="J914" i="5"/>
  <c r="G914" i="5"/>
  <c r="F914" i="5"/>
  <c r="H914" i="5" s="1"/>
  <c r="K913" i="5"/>
  <c r="J913" i="5"/>
  <c r="F913" i="5" s="1"/>
  <c r="H913" i="5" s="1"/>
  <c r="G913" i="5"/>
  <c r="K912" i="5"/>
  <c r="J912" i="5"/>
  <c r="G912" i="5"/>
  <c r="F912" i="5"/>
  <c r="H912" i="5" s="1"/>
  <c r="K911" i="5"/>
  <c r="J911" i="5"/>
  <c r="F911" i="5" s="1"/>
  <c r="H911" i="5" s="1"/>
  <c r="I911" i="5" s="1"/>
  <c r="G911" i="5"/>
  <c r="K910" i="5"/>
  <c r="J910" i="5"/>
  <c r="G910" i="5"/>
  <c r="F910" i="5"/>
  <c r="H910" i="5" s="1"/>
  <c r="I910" i="5" s="1"/>
  <c r="K909" i="5"/>
  <c r="J909" i="5"/>
  <c r="F909" i="5" s="1"/>
  <c r="H909" i="5" s="1"/>
  <c r="I909" i="5" s="1"/>
  <c r="G909" i="5"/>
  <c r="K908" i="5"/>
  <c r="J908" i="5"/>
  <c r="G908" i="5"/>
  <c r="F908" i="5"/>
  <c r="H908" i="5" s="1"/>
  <c r="I908" i="5" s="1"/>
  <c r="K907" i="5"/>
  <c r="J907" i="5"/>
  <c r="G907" i="5"/>
  <c r="F907" i="5"/>
  <c r="H907" i="5" s="1"/>
  <c r="K906" i="5"/>
  <c r="J906" i="5"/>
  <c r="G906" i="5"/>
  <c r="F906" i="5"/>
  <c r="H906" i="5" s="1"/>
  <c r="I906" i="5" s="1"/>
  <c r="K905" i="5"/>
  <c r="J905" i="5"/>
  <c r="G905" i="5"/>
  <c r="F905" i="5"/>
  <c r="H905" i="5" s="1"/>
  <c r="K904" i="5"/>
  <c r="J904" i="5"/>
  <c r="G904" i="5"/>
  <c r="F904" i="5"/>
  <c r="H904" i="5" s="1"/>
  <c r="K903" i="5"/>
  <c r="J903" i="5"/>
  <c r="G903" i="5"/>
  <c r="F903" i="5"/>
  <c r="H903" i="5" s="1"/>
  <c r="K902" i="5"/>
  <c r="J902" i="5"/>
  <c r="G902" i="5"/>
  <c r="F902" i="5"/>
  <c r="H902" i="5" s="1"/>
  <c r="K901" i="5"/>
  <c r="J901" i="5"/>
  <c r="G901" i="5"/>
  <c r="F901" i="5"/>
  <c r="H901" i="5" s="1"/>
  <c r="K900" i="5"/>
  <c r="J900" i="5"/>
  <c r="G900" i="5"/>
  <c r="F900" i="5"/>
  <c r="H900" i="5" s="1"/>
  <c r="I900" i="5" s="1"/>
  <c r="K899" i="5"/>
  <c r="J899" i="5"/>
  <c r="G899" i="5"/>
  <c r="F899" i="5"/>
  <c r="H899" i="5" s="1"/>
  <c r="I899" i="5" s="1"/>
  <c r="K898" i="5"/>
  <c r="J898" i="5"/>
  <c r="G898" i="5"/>
  <c r="F898" i="5"/>
  <c r="H898" i="5" s="1"/>
  <c r="I898" i="5" s="1"/>
  <c r="K897" i="5"/>
  <c r="J897" i="5"/>
  <c r="F897" i="5" s="1"/>
  <c r="H897" i="5" s="1"/>
  <c r="I897" i="5" s="1"/>
  <c r="G897" i="5"/>
  <c r="K896" i="5"/>
  <c r="J896" i="5"/>
  <c r="G896" i="5"/>
  <c r="F896" i="5"/>
  <c r="H896" i="5" s="1"/>
  <c r="I896" i="5" s="1"/>
  <c r="K895" i="5"/>
  <c r="J895" i="5"/>
  <c r="F895" i="5" s="1"/>
  <c r="H895" i="5" s="1"/>
  <c r="G895" i="5"/>
  <c r="K894" i="5"/>
  <c r="J894" i="5"/>
  <c r="G894" i="5"/>
  <c r="F894" i="5"/>
  <c r="H894" i="5" s="1"/>
  <c r="K893" i="5"/>
  <c r="J893" i="5"/>
  <c r="G893" i="5"/>
  <c r="F893" i="5"/>
  <c r="H893" i="5" s="1"/>
  <c r="K892" i="5"/>
  <c r="J892" i="5"/>
  <c r="G892" i="5"/>
  <c r="F892" i="5"/>
  <c r="H892" i="5" s="1"/>
  <c r="K891" i="5"/>
  <c r="J891" i="5"/>
  <c r="G891" i="5"/>
  <c r="F891" i="5"/>
  <c r="H891" i="5" s="1"/>
  <c r="K890" i="5"/>
  <c r="J890" i="5"/>
  <c r="G890" i="5"/>
  <c r="F890" i="5"/>
  <c r="H890" i="5" s="1"/>
  <c r="K889" i="5"/>
  <c r="J889" i="5"/>
  <c r="F889" i="5" s="1"/>
  <c r="H889" i="5" s="1"/>
  <c r="G889" i="5"/>
  <c r="K888" i="5"/>
  <c r="J888" i="5"/>
  <c r="G888" i="5"/>
  <c r="F888" i="5"/>
  <c r="H888" i="5" s="1"/>
  <c r="K887" i="5"/>
  <c r="J887" i="5"/>
  <c r="F887" i="5" s="1"/>
  <c r="H887" i="5" s="1"/>
  <c r="I887" i="5" s="1"/>
  <c r="G887" i="5"/>
  <c r="K886" i="5"/>
  <c r="J886" i="5"/>
  <c r="G886" i="5"/>
  <c r="F886" i="5"/>
  <c r="H886" i="5" s="1"/>
  <c r="I886" i="5" s="1"/>
  <c r="K885" i="5"/>
  <c r="J885" i="5"/>
  <c r="F885" i="5" s="1"/>
  <c r="H885" i="5" s="1"/>
  <c r="G885" i="5"/>
  <c r="K884" i="5"/>
  <c r="J884" i="5"/>
  <c r="G884" i="5"/>
  <c r="F884" i="5"/>
  <c r="H884" i="5" s="1"/>
  <c r="I884" i="5" s="1"/>
  <c r="K883" i="5"/>
  <c r="J883" i="5"/>
  <c r="G883" i="5"/>
  <c r="F883" i="5"/>
  <c r="H883" i="5" s="1"/>
  <c r="I883" i="5" s="1"/>
  <c r="K882" i="5"/>
  <c r="J882" i="5"/>
  <c r="G882" i="5"/>
  <c r="F882" i="5"/>
  <c r="H882" i="5" s="1"/>
  <c r="I882" i="5" s="1"/>
  <c r="K881" i="5"/>
  <c r="J881" i="5"/>
  <c r="F881" i="5" s="1"/>
  <c r="H881" i="5" s="1"/>
  <c r="G881" i="5"/>
  <c r="K880" i="5"/>
  <c r="J880" i="5"/>
  <c r="G880" i="5"/>
  <c r="F880" i="5"/>
  <c r="H880" i="5" s="1"/>
  <c r="K879" i="5"/>
  <c r="J879" i="5"/>
  <c r="G879" i="5"/>
  <c r="F879" i="5"/>
  <c r="H879" i="5" s="1"/>
  <c r="I879" i="5" s="1"/>
  <c r="K878" i="5"/>
  <c r="J878" i="5"/>
  <c r="G878" i="5"/>
  <c r="F878" i="5"/>
  <c r="H878" i="5" s="1"/>
  <c r="K877" i="5"/>
  <c r="J877" i="5"/>
  <c r="G877" i="5"/>
  <c r="F877" i="5"/>
  <c r="H877" i="5" s="1"/>
  <c r="K876" i="5"/>
  <c r="J876" i="5"/>
  <c r="G876" i="5"/>
  <c r="F876" i="5"/>
  <c r="H876" i="5" s="1"/>
  <c r="I876" i="5" s="1"/>
  <c r="K875" i="5"/>
  <c r="J875" i="5"/>
  <c r="G875" i="5"/>
  <c r="F875" i="5"/>
  <c r="H875" i="5" s="1"/>
  <c r="I875" i="5" s="1"/>
  <c r="K874" i="5"/>
  <c r="J874" i="5"/>
  <c r="G874" i="5"/>
  <c r="F874" i="5"/>
  <c r="H874" i="5" s="1"/>
  <c r="I874" i="5" s="1"/>
  <c r="K873" i="5"/>
  <c r="J873" i="5"/>
  <c r="F873" i="5" s="1"/>
  <c r="H873" i="5" s="1"/>
  <c r="I873" i="5" s="1"/>
  <c r="G873" i="5"/>
  <c r="K872" i="5"/>
  <c r="J872" i="5"/>
  <c r="G872" i="5"/>
  <c r="F872" i="5"/>
  <c r="H872" i="5" s="1"/>
  <c r="I872" i="5" s="1"/>
  <c r="K871" i="5"/>
  <c r="J871" i="5"/>
  <c r="F871" i="5" s="1"/>
  <c r="H871" i="5" s="1"/>
  <c r="G871" i="5"/>
  <c r="I871" i="5" s="1"/>
  <c r="K870" i="5"/>
  <c r="J870" i="5"/>
  <c r="G870" i="5"/>
  <c r="F870" i="5"/>
  <c r="H870" i="5" s="1"/>
  <c r="K869" i="5"/>
  <c r="J869" i="5"/>
  <c r="G869" i="5"/>
  <c r="F869" i="5"/>
  <c r="H869" i="5" s="1"/>
  <c r="I869" i="5" s="1"/>
  <c r="K868" i="5"/>
  <c r="J868" i="5"/>
  <c r="G868" i="5"/>
  <c r="F868" i="5"/>
  <c r="H868" i="5" s="1"/>
  <c r="K867" i="5"/>
  <c r="J867" i="5"/>
  <c r="G867" i="5"/>
  <c r="F867" i="5"/>
  <c r="H867" i="5" s="1"/>
  <c r="K866" i="5"/>
  <c r="J866" i="5"/>
  <c r="G866" i="5"/>
  <c r="F866" i="5"/>
  <c r="H866" i="5" s="1"/>
  <c r="K865" i="5"/>
  <c r="J865" i="5"/>
  <c r="F865" i="5" s="1"/>
  <c r="H865" i="5" s="1"/>
  <c r="G865" i="5"/>
  <c r="K864" i="5"/>
  <c r="J864" i="5"/>
  <c r="G864" i="5"/>
  <c r="F864" i="5"/>
  <c r="H864" i="5" s="1"/>
  <c r="K863" i="5"/>
  <c r="J863" i="5"/>
  <c r="F863" i="5" s="1"/>
  <c r="H863" i="5" s="1"/>
  <c r="I863" i="5" s="1"/>
  <c r="G863" i="5"/>
  <c r="K862" i="5"/>
  <c r="J862" i="5"/>
  <c r="G862" i="5"/>
  <c r="F862" i="5"/>
  <c r="H862" i="5" s="1"/>
  <c r="I862" i="5" s="1"/>
  <c r="K861" i="5"/>
  <c r="J861" i="5"/>
  <c r="F861" i="5" s="1"/>
  <c r="H861" i="5" s="1"/>
  <c r="I861" i="5" s="1"/>
  <c r="G861" i="5"/>
  <c r="K860" i="5"/>
  <c r="J860" i="5"/>
  <c r="G860" i="5"/>
  <c r="F860" i="5"/>
  <c r="H860" i="5" s="1"/>
  <c r="I860" i="5" s="1"/>
  <c r="K859" i="5"/>
  <c r="J859" i="5"/>
  <c r="G859" i="5"/>
  <c r="F859" i="5"/>
  <c r="H859" i="5" s="1"/>
  <c r="K858" i="5"/>
  <c r="J858" i="5"/>
  <c r="G858" i="5"/>
  <c r="F858" i="5"/>
  <c r="H858" i="5" s="1"/>
  <c r="K857" i="5"/>
  <c r="J857" i="5"/>
  <c r="F857" i="5" s="1"/>
  <c r="H857" i="5" s="1"/>
  <c r="G857" i="5"/>
  <c r="K856" i="5"/>
  <c r="J856" i="5"/>
  <c r="G856" i="5"/>
  <c r="F856" i="5"/>
  <c r="H856" i="5" s="1"/>
  <c r="K855" i="5"/>
  <c r="J855" i="5"/>
  <c r="G855" i="5"/>
  <c r="F855" i="5"/>
  <c r="H855" i="5" s="1"/>
  <c r="K854" i="5"/>
  <c r="J854" i="5"/>
  <c r="G854" i="5"/>
  <c r="F854" i="5"/>
  <c r="H854" i="5" s="1"/>
  <c r="K853" i="5"/>
  <c r="J853" i="5"/>
  <c r="G853" i="5"/>
  <c r="F853" i="5"/>
  <c r="H853" i="5" s="1"/>
  <c r="K852" i="5"/>
  <c r="J852" i="5"/>
  <c r="G852" i="5"/>
  <c r="F852" i="5"/>
  <c r="H852" i="5" s="1"/>
  <c r="I852" i="5" s="1"/>
  <c r="K851" i="5"/>
  <c r="J851" i="5"/>
  <c r="G851" i="5"/>
  <c r="F851" i="5"/>
  <c r="H851" i="5" s="1"/>
  <c r="I851" i="5" s="1"/>
  <c r="K850" i="5"/>
  <c r="J850" i="5"/>
  <c r="G850" i="5"/>
  <c r="F850" i="5"/>
  <c r="H850" i="5" s="1"/>
  <c r="I850" i="5" s="1"/>
  <c r="K849" i="5"/>
  <c r="J849" i="5"/>
  <c r="F849" i="5" s="1"/>
  <c r="H849" i="5" s="1"/>
  <c r="I849" i="5" s="1"/>
  <c r="G849" i="5"/>
  <c r="K848" i="5"/>
  <c r="J848" i="5"/>
  <c r="G848" i="5"/>
  <c r="F848" i="5"/>
  <c r="H848" i="5" s="1"/>
  <c r="I848" i="5" s="1"/>
  <c r="K847" i="5"/>
  <c r="J847" i="5"/>
  <c r="G847" i="5"/>
  <c r="F847" i="5"/>
  <c r="H847" i="5" s="1"/>
  <c r="I847" i="5" s="1"/>
  <c r="K846" i="5"/>
  <c r="J846" i="5"/>
  <c r="G846" i="5"/>
  <c r="F846" i="5"/>
  <c r="H846" i="5" s="1"/>
  <c r="I846" i="5" s="1"/>
  <c r="K845" i="5"/>
  <c r="J845" i="5"/>
  <c r="G845" i="5"/>
  <c r="F845" i="5"/>
  <c r="H845" i="5" s="1"/>
  <c r="I845" i="5" s="1"/>
  <c r="K844" i="5"/>
  <c r="J844" i="5"/>
  <c r="G844" i="5"/>
  <c r="F844" i="5"/>
  <c r="H844" i="5" s="1"/>
  <c r="I844" i="5" s="1"/>
  <c r="K843" i="5"/>
  <c r="J843" i="5"/>
  <c r="G843" i="5"/>
  <c r="F843" i="5"/>
  <c r="H843" i="5" s="1"/>
  <c r="I843" i="5" s="1"/>
  <c r="K842" i="5"/>
  <c r="J842" i="5"/>
  <c r="G842" i="5"/>
  <c r="F842" i="5"/>
  <c r="H842" i="5" s="1"/>
  <c r="I842" i="5" s="1"/>
  <c r="K841" i="5"/>
  <c r="J841" i="5"/>
  <c r="F841" i="5" s="1"/>
  <c r="H841" i="5" s="1"/>
  <c r="I841" i="5" s="1"/>
  <c r="G841" i="5"/>
  <c r="K840" i="5"/>
  <c r="J840" i="5"/>
  <c r="G840" i="5"/>
  <c r="F840" i="5"/>
  <c r="H840" i="5" s="1"/>
  <c r="I840" i="5" s="1"/>
  <c r="K839" i="5"/>
  <c r="J839" i="5"/>
  <c r="G839" i="5"/>
  <c r="F839" i="5"/>
  <c r="H839" i="5" s="1"/>
  <c r="I839" i="5" s="1"/>
  <c r="K838" i="5"/>
  <c r="J838" i="5"/>
  <c r="G838" i="5"/>
  <c r="F838" i="5"/>
  <c r="H838" i="5" s="1"/>
  <c r="I838" i="5" s="1"/>
  <c r="K837" i="5"/>
  <c r="J837" i="5"/>
  <c r="G837" i="5"/>
  <c r="F837" i="5"/>
  <c r="H837" i="5" s="1"/>
  <c r="I837" i="5" s="1"/>
  <c r="K836" i="5"/>
  <c r="J836" i="5"/>
  <c r="G836" i="5"/>
  <c r="F836" i="5"/>
  <c r="H836" i="5" s="1"/>
  <c r="I836" i="5" s="1"/>
  <c r="K835" i="5"/>
  <c r="J835" i="5"/>
  <c r="G835" i="5"/>
  <c r="F835" i="5"/>
  <c r="H835" i="5" s="1"/>
  <c r="I835" i="5" s="1"/>
  <c r="K834" i="5"/>
  <c r="J834" i="5"/>
  <c r="G834" i="5"/>
  <c r="F834" i="5"/>
  <c r="H834" i="5" s="1"/>
  <c r="I834" i="5" s="1"/>
  <c r="K833" i="5"/>
  <c r="J833" i="5"/>
  <c r="F833" i="5" s="1"/>
  <c r="H833" i="5" s="1"/>
  <c r="I833" i="5" s="1"/>
  <c r="G833" i="5"/>
  <c r="K832" i="5"/>
  <c r="J832" i="5"/>
  <c r="G832" i="5"/>
  <c r="F832" i="5"/>
  <c r="H832" i="5" s="1"/>
  <c r="I832" i="5" s="1"/>
  <c r="K831" i="5"/>
  <c r="J831" i="5"/>
  <c r="G831" i="5"/>
  <c r="F831" i="5"/>
  <c r="H831" i="5" s="1"/>
  <c r="I831" i="5" s="1"/>
  <c r="K830" i="5"/>
  <c r="J830" i="5"/>
  <c r="G830" i="5"/>
  <c r="F830" i="5"/>
  <c r="H830" i="5" s="1"/>
  <c r="I830" i="5" s="1"/>
  <c r="K829" i="5"/>
  <c r="J829" i="5"/>
  <c r="F829" i="5" s="1"/>
  <c r="H829" i="5" s="1"/>
  <c r="I829" i="5" s="1"/>
  <c r="G829" i="5"/>
  <c r="K828" i="5"/>
  <c r="J828" i="5"/>
  <c r="G828" i="5"/>
  <c r="F828" i="5"/>
  <c r="H828" i="5" s="1"/>
  <c r="I828" i="5" s="1"/>
  <c r="K827" i="5"/>
  <c r="J827" i="5"/>
  <c r="F827" i="5" s="1"/>
  <c r="H827" i="5" s="1"/>
  <c r="I827" i="5" s="1"/>
  <c r="G827" i="5"/>
  <c r="K826" i="5"/>
  <c r="J826" i="5"/>
  <c r="G826" i="5"/>
  <c r="F826" i="5"/>
  <c r="H826" i="5" s="1"/>
  <c r="I826" i="5" s="1"/>
  <c r="K825" i="5"/>
  <c r="J825" i="5"/>
  <c r="F825" i="5" s="1"/>
  <c r="H825" i="5" s="1"/>
  <c r="I825" i="5" s="1"/>
  <c r="G825" i="5"/>
  <c r="K824" i="5"/>
  <c r="J824" i="5"/>
  <c r="G824" i="5"/>
  <c r="F824" i="5"/>
  <c r="H824" i="5" s="1"/>
  <c r="I824" i="5" s="1"/>
  <c r="K823" i="5"/>
  <c r="J823" i="5"/>
  <c r="G823" i="5"/>
  <c r="F823" i="5"/>
  <c r="H823" i="5" s="1"/>
  <c r="I823" i="5" s="1"/>
  <c r="K822" i="5"/>
  <c r="J822" i="5"/>
  <c r="G822" i="5"/>
  <c r="F822" i="5"/>
  <c r="H822" i="5" s="1"/>
  <c r="I822" i="5" s="1"/>
  <c r="K821" i="5"/>
  <c r="J821" i="5"/>
  <c r="G821" i="5"/>
  <c r="F821" i="5"/>
  <c r="H821" i="5" s="1"/>
  <c r="I821" i="5" s="1"/>
  <c r="K820" i="5"/>
  <c r="J820" i="5"/>
  <c r="G820" i="5"/>
  <c r="F820" i="5"/>
  <c r="H820" i="5" s="1"/>
  <c r="I820" i="5" s="1"/>
  <c r="K819" i="5"/>
  <c r="J819" i="5"/>
  <c r="F819" i="5" s="1"/>
  <c r="H819" i="5" s="1"/>
  <c r="I819" i="5" s="1"/>
  <c r="G819" i="5"/>
  <c r="K818" i="5"/>
  <c r="J818" i="5"/>
  <c r="G818" i="5"/>
  <c r="F818" i="5"/>
  <c r="H818" i="5" s="1"/>
  <c r="I818" i="5" s="1"/>
  <c r="K817" i="5"/>
  <c r="J817" i="5"/>
  <c r="G817" i="5"/>
  <c r="F817" i="5"/>
  <c r="H817" i="5" s="1"/>
  <c r="I817" i="5" s="1"/>
  <c r="K816" i="5"/>
  <c r="J816" i="5"/>
  <c r="G816" i="5"/>
  <c r="F816" i="5"/>
  <c r="H816" i="5" s="1"/>
  <c r="I816" i="5" s="1"/>
  <c r="K815" i="5"/>
  <c r="J815" i="5"/>
  <c r="G815" i="5"/>
  <c r="F815" i="5"/>
  <c r="H815" i="5" s="1"/>
  <c r="I815" i="5" s="1"/>
  <c r="K814" i="5"/>
  <c r="J814" i="5"/>
  <c r="G814" i="5"/>
  <c r="F814" i="5"/>
  <c r="H814" i="5" s="1"/>
  <c r="I814" i="5" s="1"/>
  <c r="K813" i="5"/>
  <c r="J813" i="5"/>
  <c r="G813" i="5"/>
  <c r="F813" i="5"/>
  <c r="H813" i="5" s="1"/>
  <c r="I813" i="5" s="1"/>
  <c r="K812" i="5"/>
  <c r="J812" i="5"/>
  <c r="G812" i="5"/>
  <c r="F812" i="5"/>
  <c r="H812" i="5" s="1"/>
  <c r="I812" i="5" s="1"/>
  <c r="K811" i="5"/>
  <c r="J811" i="5"/>
  <c r="G811" i="5"/>
  <c r="F811" i="5"/>
  <c r="H811" i="5" s="1"/>
  <c r="I811" i="5" s="1"/>
  <c r="K810" i="5"/>
  <c r="J810" i="5"/>
  <c r="G810" i="5"/>
  <c r="F810" i="5"/>
  <c r="H810" i="5" s="1"/>
  <c r="I810" i="5" s="1"/>
  <c r="K809" i="5"/>
  <c r="J809" i="5"/>
  <c r="G809" i="5"/>
  <c r="F809" i="5"/>
  <c r="H809" i="5" s="1"/>
  <c r="I809" i="5" s="1"/>
  <c r="K808" i="5"/>
  <c r="J808" i="5"/>
  <c r="G808" i="5"/>
  <c r="F808" i="5"/>
  <c r="H808" i="5" s="1"/>
  <c r="I808" i="5" s="1"/>
  <c r="K807" i="5"/>
  <c r="J807" i="5"/>
  <c r="F807" i="5" s="1"/>
  <c r="H807" i="5" s="1"/>
  <c r="I807" i="5" s="1"/>
  <c r="G807" i="5"/>
  <c r="K806" i="5"/>
  <c r="J806" i="5"/>
  <c r="G806" i="5"/>
  <c r="F806" i="5"/>
  <c r="H806" i="5" s="1"/>
  <c r="I806" i="5" s="1"/>
  <c r="K805" i="5"/>
  <c r="J805" i="5"/>
  <c r="G805" i="5"/>
  <c r="F805" i="5"/>
  <c r="H805" i="5" s="1"/>
  <c r="I805" i="5" s="1"/>
  <c r="K804" i="5"/>
  <c r="J804" i="5"/>
  <c r="G804" i="5"/>
  <c r="F804" i="5"/>
  <c r="H804" i="5" s="1"/>
  <c r="I804" i="5" s="1"/>
  <c r="K803" i="5"/>
  <c r="J803" i="5"/>
  <c r="G803" i="5"/>
  <c r="F803" i="5"/>
  <c r="H803" i="5" s="1"/>
  <c r="I803" i="5" s="1"/>
  <c r="K802" i="5"/>
  <c r="J802" i="5"/>
  <c r="G802" i="5"/>
  <c r="F802" i="5"/>
  <c r="H802" i="5" s="1"/>
  <c r="I802" i="5" s="1"/>
  <c r="K801" i="5"/>
  <c r="J801" i="5"/>
  <c r="F801" i="5" s="1"/>
  <c r="H801" i="5" s="1"/>
  <c r="I801" i="5" s="1"/>
  <c r="G801" i="5"/>
  <c r="K800" i="5"/>
  <c r="J800" i="5"/>
  <c r="G800" i="5"/>
  <c r="F800" i="5"/>
  <c r="H800" i="5" s="1"/>
  <c r="I800" i="5" s="1"/>
  <c r="K799" i="5"/>
  <c r="J799" i="5"/>
  <c r="G799" i="5"/>
  <c r="F799" i="5"/>
  <c r="H799" i="5" s="1"/>
  <c r="I799" i="5" s="1"/>
  <c r="K798" i="5"/>
  <c r="J798" i="5"/>
  <c r="G798" i="5"/>
  <c r="F798" i="5"/>
  <c r="H798" i="5" s="1"/>
  <c r="I798" i="5" s="1"/>
  <c r="K797" i="5"/>
  <c r="J797" i="5"/>
  <c r="G797" i="5"/>
  <c r="F797" i="5"/>
  <c r="H797" i="5" s="1"/>
  <c r="I797" i="5" s="1"/>
  <c r="K796" i="5"/>
  <c r="J796" i="5"/>
  <c r="G796" i="5"/>
  <c r="F796" i="5"/>
  <c r="H796" i="5" s="1"/>
  <c r="I796" i="5" s="1"/>
  <c r="K795" i="5"/>
  <c r="J795" i="5"/>
  <c r="G795" i="5"/>
  <c r="F795" i="5"/>
  <c r="H795" i="5" s="1"/>
  <c r="I795" i="5" s="1"/>
  <c r="K794" i="5"/>
  <c r="J794" i="5"/>
  <c r="G794" i="5"/>
  <c r="F794" i="5"/>
  <c r="H794" i="5" s="1"/>
  <c r="I794" i="5" s="1"/>
  <c r="K793" i="5"/>
  <c r="J793" i="5"/>
  <c r="F793" i="5" s="1"/>
  <c r="H793" i="5" s="1"/>
  <c r="I793" i="5" s="1"/>
  <c r="G793" i="5"/>
  <c r="K792" i="5"/>
  <c r="J792" i="5"/>
  <c r="G792" i="5"/>
  <c r="F792" i="5"/>
  <c r="H792" i="5" s="1"/>
  <c r="I792" i="5" s="1"/>
  <c r="K791" i="5"/>
  <c r="J791" i="5"/>
  <c r="G791" i="5"/>
  <c r="F791" i="5"/>
  <c r="H791" i="5" s="1"/>
  <c r="I791" i="5" s="1"/>
  <c r="K790" i="5"/>
  <c r="J790" i="5"/>
  <c r="G790" i="5"/>
  <c r="F790" i="5"/>
  <c r="H790" i="5" s="1"/>
  <c r="I790" i="5" s="1"/>
  <c r="K789" i="5"/>
  <c r="J789" i="5"/>
  <c r="G789" i="5"/>
  <c r="F789" i="5"/>
  <c r="H789" i="5" s="1"/>
  <c r="I789" i="5" s="1"/>
  <c r="K788" i="5"/>
  <c r="J788" i="5"/>
  <c r="G788" i="5"/>
  <c r="F788" i="5"/>
  <c r="H788" i="5" s="1"/>
  <c r="I788" i="5" s="1"/>
  <c r="K787" i="5"/>
  <c r="J787" i="5"/>
  <c r="F787" i="5" s="1"/>
  <c r="H787" i="5" s="1"/>
  <c r="I787" i="5" s="1"/>
  <c r="G787" i="5"/>
  <c r="K786" i="5"/>
  <c r="J786" i="5"/>
  <c r="G786" i="5"/>
  <c r="F786" i="5"/>
  <c r="H786" i="5" s="1"/>
  <c r="I786" i="5" s="1"/>
  <c r="K785" i="5"/>
  <c r="J785" i="5"/>
  <c r="G785" i="5"/>
  <c r="F785" i="5"/>
  <c r="H785" i="5" s="1"/>
  <c r="I785" i="5" s="1"/>
  <c r="K784" i="5"/>
  <c r="J784" i="5"/>
  <c r="G784" i="5"/>
  <c r="F784" i="5"/>
  <c r="H784" i="5" s="1"/>
  <c r="I784" i="5" s="1"/>
  <c r="K783" i="5"/>
  <c r="J783" i="5"/>
  <c r="F783" i="5" s="1"/>
  <c r="H783" i="5" s="1"/>
  <c r="I783" i="5" s="1"/>
  <c r="G783" i="5"/>
  <c r="K782" i="5"/>
  <c r="J782" i="5"/>
  <c r="G782" i="5"/>
  <c r="F782" i="5"/>
  <c r="H782" i="5" s="1"/>
  <c r="I782" i="5" s="1"/>
  <c r="K781" i="5"/>
  <c r="J781" i="5"/>
  <c r="G781" i="5"/>
  <c r="F781" i="5"/>
  <c r="H781" i="5" s="1"/>
  <c r="I781" i="5" s="1"/>
  <c r="K780" i="5"/>
  <c r="J780" i="5"/>
  <c r="G780" i="5"/>
  <c r="F780" i="5"/>
  <c r="H780" i="5" s="1"/>
  <c r="I780" i="5" s="1"/>
  <c r="K779" i="5"/>
  <c r="J779" i="5"/>
  <c r="F779" i="5" s="1"/>
  <c r="H779" i="5" s="1"/>
  <c r="I779" i="5" s="1"/>
  <c r="G779" i="5"/>
  <c r="K778" i="5"/>
  <c r="J778" i="5"/>
  <c r="G778" i="5"/>
  <c r="F778" i="5"/>
  <c r="H778" i="5" s="1"/>
  <c r="I778" i="5" s="1"/>
  <c r="K777" i="5"/>
  <c r="J777" i="5"/>
  <c r="G777" i="5"/>
  <c r="F777" i="5"/>
  <c r="H777" i="5" s="1"/>
  <c r="I777" i="5" s="1"/>
  <c r="K776" i="5"/>
  <c r="J776" i="5"/>
  <c r="G776" i="5"/>
  <c r="F776" i="5"/>
  <c r="H776" i="5" s="1"/>
  <c r="I776" i="5" s="1"/>
  <c r="K775" i="5"/>
  <c r="J775" i="5"/>
  <c r="G775" i="5"/>
  <c r="F775" i="5"/>
  <c r="H775" i="5" s="1"/>
  <c r="I775" i="5" s="1"/>
  <c r="K774" i="5"/>
  <c r="J774" i="5"/>
  <c r="G774" i="5"/>
  <c r="F774" i="5"/>
  <c r="H774" i="5" s="1"/>
  <c r="I774" i="5" s="1"/>
  <c r="K773" i="5"/>
  <c r="J773" i="5"/>
  <c r="F773" i="5" s="1"/>
  <c r="H773" i="5" s="1"/>
  <c r="I773" i="5" s="1"/>
  <c r="G773" i="5"/>
  <c r="K772" i="5"/>
  <c r="J772" i="5"/>
  <c r="G772" i="5"/>
  <c r="F772" i="5"/>
  <c r="H772" i="5" s="1"/>
  <c r="I772" i="5" s="1"/>
  <c r="K771" i="5"/>
  <c r="J771" i="5"/>
  <c r="G771" i="5"/>
  <c r="F771" i="5"/>
  <c r="H771" i="5" s="1"/>
  <c r="I771" i="5" s="1"/>
  <c r="K770" i="5"/>
  <c r="J770" i="5"/>
  <c r="G770" i="5"/>
  <c r="F770" i="5"/>
  <c r="H770" i="5" s="1"/>
  <c r="I770" i="5" s="1"/>
  <c r="K769" i="5"/>
  <c r="J769" i="5"/>
  <c r="F769" i="5" s="1"/>
  <c r="H769" i="5" s="1"/>
  <c r="I769" i="5" s="1"/>
  <c r="G769" i="5"/>
  <c r="K768" i="5"/>
  <c r="J768" i="5"/>
  <c r="G768" i="5"/>
  <c r="F768" i="5"/>
  <c r="H768" i="5" s="1"/>
  <c r="I768" i="5" s="1"/>
  <c r="K767" i="5"/>
  <c r="J767" i="5"/>
  <c r="G767" i="5"/>
  <c r="F767" i="5"/>
  <c r="H767" i="5" s="1"/>
  <c r="I767" i="5" s="1"/>
  <c r="K766" i="5"/>
  <c r="J766" i="5"/>
  <c r="G766" i="5"/>
  <c r="F766" i="5"/>
  <c r="H766" i="5" s="1"/>
  <c r="I766" i="5" s="1"/>
  <c r="K765" i="5"/>
  <c r="J765" i="5"/>
  <c r="F765" i="5" s="1"/>
  <c r="H765" i="5" s="1"/>
  <c r="I765" i="5" s="1"/>
  <c r="G765" i="5"/>
  <c r="K764" i="5"/>
  <c r="J764" i="5"/>
  <c r="G764" i="5"/>
  <c r="F764" i="5"/>
  <c r="H764" i="5" s="1"/>
  <c r="I764" i="5" s="1"/>
  <c r="K763" i="5"/>
  <c r="J763" i="5"/>
  <c r="F763" i="5" s="1"/>
  <c r="H763" i="5" s="1"/>
  <c r="I763" i="5" s="1"/>
  <c r="G763" i="5"/>
  <c r="K762" i="5"/>
  <c r="J762" i="5"/>
  <c r="G762" i="5"/>
  <c r="F762" i="5"/>
  <c r="H762" i="5" s="1"/>
  <c r="I762" i="5" s="1"/>
  <c r="K761" i="5"/>
  <c r="J761" i="5"/>
  <c r="G761" i="5"/>
  <c r="F761" i="5"/>
  <c r="H761" i="5" s="1"/>
  <c r="I761" i="5" s="1"/>
  <c r="K760" i="5"/>
  <c r="J760" i="5"/>
  <c r="G760" i="5"/>
  <c r="F760" i="5"/>
  <c r="H760" i="5" s="1"/>
  <c r="I760" i="5" s="1"/>
  <c r="K759" i="5"/>
  <c r="J759" i="5"/>
  <c r="G759" i="5"/>
  <c r="F759" i="5"/>
  <c r="H759" i="5" s="1"/>
  <c r="I759" i="5" s="1"/>
  <c r="K758" i="5"/>
  <c r="J758" i="5"/>
  <c r="G758" i="5"/>
  <c r="F758" i="5"/>
  <c r="H758" i="5" s="1"/>
  <c r="I758" i="5" s="1"/>
  <c r="K757" i="5"/>
  <c r="J757" i="5"/>
  <c r="F757" i="5" s="1"/>
  <c r="H757" i="5" s="1"/>
  <c r="I757" i="5" s="1"/>
  <c r="G757" i="5"/>
  <c r="K756" i="5"/>
  <c r="J756" i="5"/>
  <c r="G756" i="5"/>
  <c r="F756" i="5"/>
  <c r="H756" i="5" s="1"/>
  <c r="I756" i="5" s="1"/>
  <c r="K755" i="5"/>
  <c r="J755" i="5"/>
  <c r="F755" i="5" s="1"/>
  <c r="H755" i="5" s="1"/>
  <c r="I755" i="5" s="1"/>
  <c r="G755" i="5"/>
  <c r="K754" i="5"/>
  <c r="J754" i="5"/>
  <c r="G754" i="5"/>
  <c r="F754" i="5"/>
  <c r="H754" i="5" s="1"/>
  <c r="I754" i="5" s="1"/>
  <c r="K753" i="5"/>
  <c r="J753" i="5"/>
  <c r="G753" i="5"/>
  <c r="F753" i="5"/>
  <c r="H753" i="5" s="1"/>
  <c r="I753" i="5" s="1"/>
  <c r="K752" i="5"/>
  <c r="J752" i="5"/>
  <c r="G752" i="5"/>
  <c r="F752" i="5"/>
  <c r="H752" i="5" s="1"/>
  <c r="I752" i="5" s="1"/>
  <c r="K751" i="5"/>
  <c r="J751" i="5"/>
  <c r="F751" i="5" s="1"/>
  <c r="H751" i="5" s="1"/>
  <c r="I751" i="5" s="1"/>
  <c r="G751" i="5"/>
  <c r="K750" i="5"/>
  <c r="J750" i="5"/>
  <c r="G750" i="5"/>
  <c r="F750" i="5"/>
  <c r="H750" i="5" s="1"/>
  <c r="I750" i="5" s="1"/>
  <c r="K749" i="5"/>
  <c r="J749" i="5"/>
  <c r="F749" i="5" s="1"/>
  <c r="H749" i="5" s="1"/>
  <c r="I749" i="5" s="1"/>
  <c r="G749" i="5"/>
  <c r="K748" i="5"/>
  <c r="J748" i="5"/>
  <c r="G748" i="5"/>
  <c r="F748" i="5"/>
  <c r="H748" i="5" s="1"/>
  <c r="I748" i="5" s="1"/>
  <c r="K747" i="5"/>
  <c r="J747" i="5"/>
  <c r="G747" i="5"/>
  <c r="F747" i="5"/>
  <c r="H747" i="5" s="1"/>
  <c r="I747" i="5" s="1"/>
  <c r="K746" i="5"/>
  <c r="J746" i="5"/>
  <c r="G746" i="5"/>
  <c r="F746" i="5"/>
  <c r="H746" i="5" s="1"/>
  <c r="I746" i="5" s="1"/>
  <c r="K745" i="5"/>
  <c r="J745" i="5"/>
  <c r="F745" i="5" s="1"/>
  <c r="H745" i="5" s="1"/>
  <c r="I745" i="5" s="1"/>
  <c r="G745" i="5"/>
  <c r="K744" i="5"/>
  <c r="J744" i="5"/>
  <c r="G744" i="5"/>
  <c r="F744" i="5"/>
  <c r="H744" i="5" s="1"/>
  <c r="I744" i="5" s="1"/>
  <c r="K743" i="5"/>
  <c r="J743" i="5"/>
  <c r="F743" i="5" s="1"/>
  <c r="H743" i="5" s="1"/>
  <c r="I743" i="5" s="1"/>
  <c r="G743" i="5"/>
  <c r="K742" i="5"/>
  <c r="J742" i="5"/>
  <c r="G742" i="5"/>
  <c r="F742" i="5"/>
  <c r="H742" i="5" s="1"/>
  <c r="I742" i="5" s="1"/>
  <c r="K741" i="5"/>
  <c r="J741" i="5"/>
  <c r="G741" i="5"/>
  <c r="F741" i="5"/>
  <c r="H741" i="5" s="1"/>
  <c r="I741" i="5" s="1"/>
  <c r="K740" i="5"/>
  <c r="J740" i="5"/>
  <c r="G740" i="5"/>
  <c r="F740" i="5"/>
  <c r="H740" i="5" s="1"/>
  <c r="I740" i="5" s="1"/>
  <c r="K739" i="5"/>
  <c r="J739" i="5"/>
  <c r="F739" i="5" s="1"/>
  <c r="H739" i="5" s="1"/>
  <c r="I739" i="5" s="1"/>
  <c r="G739" i="5"/>
  <c r="K738" i="5"/>
  <c r="J738" i="5"/>
  <c r="G738" i="5"/>
  <c r="F738" i="5"/>
  <c r="H738" i="5" s="1"/>
  <c r="I738" i="5" s="1"/>
  <c r="K737" i="5"/>
  <c r="J737" i="5"/>
  <c r="G737" i="5"/>
  <c r="F737" i="5"/>
  <c r="H737" i="5" s="1"/>
  <c r="I737" i="5" s="1"/>
  <c r="K736" i="5"/>
  <c r="J736" i="5"/>
  <c r="G736" i="5"/>
  <c r="F736" i="5"/>
  <c r="H736" i="5" s="1"/>
  <c r="I736" i="5" s="1"/>
  <c r="K735" i="5"/>
  <c r="J735" i="5"/>
  <c r="F735" i="5" s="1"/>
  <c r="H735" i="5" s="1"/>
  <c r="I735" i="5" s="1"/>
  <c r="G735" i="5"/>
  <c r="K734" i="5"/>
  <c r="J734" i="5"/>
  <c r="G734" i="5"/>
  <c r="F734" i="5"/>
  <c r="H734" i="5" s="1"/>
  <c r="I734" i="5" s="1"/>
  <c r="K733" i="5"/>
  <c r="J733" i="5"/>
  <c r="G733" i="5"/>
  <c r="F733" i="5"/>
  <c r="H733" i="5" s="1"/>
  <c r="I733" i="5" s="1"/>
  <c r="K732" i="5"/>
  <c r="J732" i="5"/>
  <c r="G732" i="5"/>
  <c r="F732" i="5"/>
  <c r="H732" i="5" s="1"/>
  <c r="I732" i="5" s="1"/>
  <c r="K731" i="5"/>
  <c r="J731" i="5"/>
  <c r="G731" i="5"/>
  <c r="F731" i="5"/>
  <c r="H731" i="5" s="1"/>
  <c r="I731" i="5" s="1"/>
  <c r="K730" i="5"/>
  <c r="J730" i="5"/>
  <c r="G730" i="5"/>
  <c r="F730" i="5"/>
  <c r="H730" i="5" s="1"/>
  <c r="I730" i="5" s="1"/>
  <c r="K729" i="5"/>
  <c r="J729" i="5"/>
  <c r="F729" i="5" s="1"/>
  <c r="H729" i="5" s="1"/>
  <c r="I729" i="5" s="1"/>
  <c r="G729" i="5"/>
  <c r="K728" i="5"/>
  <c r="J728" i="5"/>
  <c r="G728" i="5"/>
  <c r="F728" i="5"/>
  <c r="H728" i="5" s="1"/>
  <c r="I728" i="5" s="1"/>
  <c r="K727" i="5"/>
  <c r="J727" i="5"/>
  <c r="G727" i="5"/>
  <c r="F727" i="5"/>
  <c r="H727" i="5" s="1"/>
  <c r="I727" i="5" s="1"/>
  <c r="K726" i="5"/>
  <c r="J726" i="5"/>
  <c r="G726" i="5"/>
  <c r="F726" i="5"/>
  <c r="H726" i="5" s="1"/>
  <c r="I726" i="5" s="1"/>
  <c r="K725" i="5"/>
  <c r="J725" i="5"/>
  <c r="G725" i="5"/>
  <c r="F725" i="5"/>
  <c r="H725" i="5" s="1"/>
  <c r="I725" i="5" s="1"/>
  <c r="K724" i="5"/>
  <c r="J724" i="5"/>
  <c r="G724" i="5"/>
  <c r="F724" i="5"/>
  <c r="H724" i="5" s="1"/>
  <c r="I724" i="5" s="1"/>
  <c r="K723" i="5"/>
  <c r="J723" i="5"/>
  <c r="G723" i="5"/>
  <c r="F723" i="5"/>
  <c r="H723" i="5" s="1"/>
  <c r="I723" i="5" s="1"/>
  <c r="K722" i="5"/>
  <c r="J722" i="5"/>
  <c r="G722" i="5"/>
  <c r="F722" i="5"/>
  <c r="H722" i="5" s="1"/>
  <c r="I722" i="5" s="1"/>
  <c r="K721" i="5"/>
  <c r="J721" i="5"/>
  <c r="G721" i="5"/>
  <c r="F721" i="5"/>
  <c r="H721" i="5" s="1"/>
  <c r="I721" i="5" s="1"/>
  <c r="K720" i="5"/>
  <c r="J720" i="5"/>
  <c r="G720" i="5"/>
  <c r="F720" i="5"/>
  <c r="H720" i="5" s="1"/>
  <c r="I720" i="5" s="1"/>
  <c r="K719" i="5"/>
  <c r="J719" i="5"/>
  <c r="G719" i="5"/>
  <c r="F719" i="5"/>
  <c r="H719" i="5" s="1"/>
  <c r="I719" i="5" s="1"/>
  <c r="K718" i="5"/>
  <c r="J718" i="5"/>
  <c r="G718" i="5"/>
  <c r="F718" i="5"/>
  <c r="H718" i="5" s="1"/>
  <c r="I718" i="5" s="1"/>
  <c r="K717" i="5"/>
  <c r="J717" i="5"/>
  <c r="G717" i="5"/>
  <c r="F717" i="5"/>
  <c r="H717" i="5" s="1"/>
  <c r="I717" i="5" s="1"/>
  <c r="K716" i="5"/>
  <c r="J716" i="5"/>
  <c r="G716" i="5"/>
  <c r="F716" i="5"/>
  <c r="H716" i="5" s="1"/>
  <c r="I716" i="5" s="1"/>
  <c r="K715" i="5"/>
  <c r="J715" i="5"/>
  <c r="F715" i="5" s="1"/>
  <c r="H715" i="5" s="1"/>
  <c r="I715" i="5" s="1"/>
  <c r="G715" i="5"/>
  <c r="K714" i="5"/>
  <c r="J714" i="5"/>
  <c r="G714" i="5"/>
  <c r="F714" i="5"/>
  <c r="H714" i="5" s="1"/>
  <c r="I714" i="5" s="1"/>
  <c r="K713" i="5"/>
  <c r="J713" i="5"/>
  <c r="G713" i="5"/>
  <c r="F713" i="5"/>
  <c r="H713" i="5" s="1"/>
  <c r="I713" i="5" s="1"/>
  <c r="K712" i="5"/>
  <c r="J712" i="5"/>
  <c r="G712" i="5"/>
  <c r="F712" i="5"/>
  <c r="H712" i="5" s="1"/>
  <c r="I712" i="5" s="1"/>
  <c r="K711" i="5"/>
  <c r="J711" i="5"/>
  <c r="G711" i="5"/>
  <c r="F711" i="5"/>
  <c r="H711" i="5" s="1"/>
  <c r="I711" i="5" s="1"/>
  <c r="K710" i="5"/>
  <c r="J710" i="5"/>
  <c r="G710" i="5"/>
  <c r="F710" i="5"/>
  <c r="H710" i="5" s="1"/>
  <c r="I710" i="5" s="1"/>
  <c r="K709" i="5"/>
  <c r="J709" i="5"/>
  <c r="F709" i="5" s="1"/>
  <c r="H709" i="5"/>
  <c r="I709" i="5" s="1"/>
  <c r="G709" i="5"/>
  <c r="K708" i="5"/>
  <c r="J708" i="5"/>
  <c r="G708" i="5"/>
  <c r="F708" i="5"/>
  <c r="H708" i="5" s="1"/>
  <c r="I708" i="5" s="1"/>
  <c r="K707" i="5"/>
  <c r="J707" i="5"/>
  <c r="F707" i="5" s="1"/>
  <c r="H707" i="5" s="1"/>
  <c r="I707" i="5" s="1"/>
  <c r="G707" i="5"/>
  <c r="K706" i="5"/>
  <c r="J706" i="5"/>
  <c r="G706" i="5"/>
  <c r="F706" i="5"/>
  <c r="H706" i="5" s="1"/>
  <c r="I706" i="5" s="1"/>
  <c r="K705" i="5"/>
  <c r="J705" i="5"/>
  <c r="G705" i="5"/>
  <c r="F705" i="5"/>
  <c r="H705" i="5" s="1"/>
  <c r="I705" i="5" s="1"/>
  <c r="K704" i="5"/>
  <c r="J704" i="5"/>
  <c r="G704" i="5"/>
  <c r="F704" i="5"/>
  <c r="H704" i="5" s="1"/>
  <c r="I704" i="5" s="1"/>
  <c r="K703" i="5"/>
  <c r="J703" i="5"/>
  <c r="F703" i="5" s="1"/>
  <c r="H703" i="5" s="1"/>
  <c r="I703" i="5" s="1"/>
  <c r="G703" i="5"/>
  <c r="K702" i="5"/>
  <c r="J702" i="5"/>
  <c r="G702" i="5"/>
  <c r="F702" i="5"/>
  <c r="H702" i="5" s="1"/>
  <c r="I702" i="5" s="1"/>
  <c r="K701" i="5"/>
  <c r="J701" i="5"/>
  <c r="F701" i="5" s="1"/>
  <c r="H701" i="5" s="1"/>
  <c r="I701" i="5" s="1"/>
  <c r="G701" i="5"/>
  <c r="K700" i="5"/>
  <c r="J700" i="5"/>
  <c r="G700" i="5"/>
  <c r="F700" i="5"/>
  <c r="H700" i="5" s="1"/>
  <c r="I700" i="5" s="1"/>
  <c r="K699" i="5"/>
  <c r="J699" i="5"/>
  <c r="G699" i="5"/>
  <c r="F699" i="5"/>
  <c r="H699" i="5" s="1"/>
  <c r="I699" i="5" s="1"/>
  <c r="K698" i="5"/>
  <c r="J698" i="5"/>
  <c r="G698" i="5"/>
  <c r="F698" i="5"/>
  <c r="H698" i="5" s="1"/>
  <c r="I698" i="5" s="1"/>
  <c r="K697" i="5"/>
  <c r="J697" i="5"/>
  <c r="G697" i="5"/>
  <c r="F697" i="5"/>
  <c r="H697" i="5" s="1"/>
  <c r="I697" i="5" s="1"/>
  <c r="K696" i="5"/>
  <c r="J696" i="5"/>
  <c r="G696" i="5"/>
  <c r="F696" i="5"/>
  <c r="H696" i="5" s="1"/>
  <c r="I696" i="5" s="1"/>
  <c r="K695" i="5"/>
  <c r="J695" i="5"/>
  <c r="G695" i="5"/>
  <c r="F695" i="5"/>
  <c r="H695" i="5" s="1"/>
  <c r="I695" i="5" s="1"/>
  <c r="K694" i="5"/>
  <c r="J694" i="5"/>
  <c r="G694" i="5"/>
  <c r="F694" i="5"/>
  <c r="H694" i="5" s="1"/>
  <c r="I694" i="5" s="1"/>
  <c r="K693" i="5"/>
  <c r="J693" i="5"/>
  <c r="F693" i="5" s="1"/>
  <c r="H693" i="5" s="1"/>
  <c r="I693" i="5" s="1"/>
  <c r="G693" i="5"/>
  <c r="K692" i="5"/>
  <c r="J692" i="5"/>
  <c r="G692" i="5"/>
  <c r="F692" i="5"/>
  <c r="H692" i="5" s="1"/>
  <c r="I692" i="5" s="1"/>
  <c r="K691" i="5"/>
  <c r="J691" i="5"/>
  <c r="F691" i="5" s="1"/>
  <c r="H691" i="5"/>
  <c r="I691" i="5" s="1"/>
  <c r="G691" i="5"/>
  <c r="K690" i="5"/>
  <c r="J690" i="5"/>
  <c r="G690" i="5"/>
  <c r="F690" i="5"/>
  <c r="H690" i="5" s="1"/>
  <c r="I690" i="5" s="1"/>
  <c r="K689" i="5"/>
  <c r="J689" i="5"/>
  <c r="F689" i="5" s="1"/>
  <c r="H689" i="5" s="1"/>
  <c r="I689" i="5" s="1"/>
  <c r="G689" i="5"/>
  <c r="K688" i="5"/>
  <c r="J688" i="5"/>
  <c r="G688" i="5"/>
  <c r="F688" i="5"/>
  <c r="H688" i="5" s="1"/>
  <c r="I688" i="5" s="1"/>
  <c r="K687" i="5"/>
  <c r="J687" i="5"/>
  <c r="F687" i="5" s="1"/>
  <c r="H687" i="5" s="1"/>
  <c r="I687" i="5" s="1"/>
  <c r="G687" i="5"/>
  <c r="K686" i="5"/>
  <c r="J686" i="5"/>
  <c r="G686" i="5"/>
  <c r="F686" i="5"/>
  <c r="H686" i="5" s="1"/>
  <c r="I686" i="5" s="1"/>
  <c r="K685" i="5"/>
  <c r="J685" i="5"/>
  <c r="G685" i="5"/>
  <c r="F685" i="5"/>
  <c r="H685" i="5" s="1"/>
  <c r="I685" i="5" s="1"/>
  <c r="K684" i="5"/>
  <c r="J684" i="5"/>
  <c r="G684" i="5"/>
  <c r="F684" i="5"/>
  <c r="H684" i="5" s="1"/>
  <c r="I684" i="5" s="1"/>
  <c r="K683" i="5"/>
  <c r="J683" i="5"/>
  <c r="G683" i="5"/>
  <c r="F683" i="5"/>
  <c r="H683" i="5" s="1"/>
  <c r="I683" i="5" s="1"/>
  <c r="K682" i="5"/>
  <c r="J682" i="5"/>
  <c r="G682" i="5"/>
  <c r="F682" i="5"/>
  <c r="H682" i="5" s="1"/>
  <c r="I682" i="5" s="1"/>
  <c r="K681" i="5"/>
  <c r="J681" i="5"/>
  <c r="F681" i="5" s="1"/>
  <c r="H681" i="5" s="1"/>
  <c r="I681" i="5" s="1"/>
  <c r="G681" i="5"/>
  <c r="K680" i="5"/>
  <c r="J680" i="5"/>
  <c r="G680" i="5"/>
  <c r="F680" i="5"/>
  <c r="H680" i="5" s="1"/>
  <c r="I680" i="5" s="1"/>
  <c r="K679" i="5"/>
  <c r="J679" i="5"/>
  <c r="F679" i="5" s="1"/>
  <c r="H679" i="5" s="1"/>
  <c r="I679" i="5" s="1"/>
  <c r="G679" i="5"/>
  <c r="K678" i="5"/>
  <c r="J678" i="5"/>
  <c r="G678" i="5"/>
  <c r="F678" i="5"/>
  <c r="H678" i="5" s="1"/>
  <c r="I678" i="5" s="1"/>
  <c r="K677" i="5"/>
  <c r="J677" i="5"/>
  <c r="G677" i="5"/>
  <c r="F677" i="5"/>
  <c r="H677" i="5" s="1"/>
  <c r="I677" i="5" s="1"/>
  <c r="K676" i="5"/>
  <c r="J676" i="5"/>
  <c r="G676" i="5"/>
  <c r="F676" i="5"/>
  <c r="H676" i="5" s="1"/>
  <c r="I676" i="5" s="1"/>
  <c r="K675" i="5"/>
  <c r="J675" i="5"/>
  <c r="G675" i="5"/>
  <c r="F675" i="5"/>
  <c r="H675" i="5" s="1"/>
  <c r="I675" i="5" s="1"/>
  <c r="K674" i="5"/>
  <c r="J674" i="5"/>
  <c r="G674" i="5"/>
  <c r="F674" i="5"/>
  <c r="H674" i="5" s="1"/>
  <c r="I674" i="5" s="1"/>
  <c r="K673" i="5"/>
  <c r="J673" i="5"/>
  <c r="F673" i="5" s="1"/>
  <c r="H673" i="5" s="1"/>
  <c r="I673" i="5" s="1"/>
  <c r="G673" i="5"/>
  <c r="K672" i="5"/>
  <c r="J672" i="5"/>
  <c r="G672" i="5"/>
  <c r="F672" i="5"/>
  <c r="H672" i="5" s="1"/>
  <c r="I672" i="5" s="1"/>
  <c r="K671" i="5"/>
  <c r="J671" i="5"/>
  <c r="F671" i="5" s="1"/>
  <c r="H671" i="5" s="1"/>
  <c r="I671" i="5" s="1"/>
  <c r="G671" i="5"/>
  <c r="K670" i="5"/>
  <c r="J670" i="5"/>
  <c r="G670" i="5"/>
  <c r="F670" i="5"/>
  <c r="H670" i="5" s="1"/>
  <c r="I670" i="5" s="1"/>
  <c r="K669" i="5"/>
  <c r="J669" i="5"/>
  <c r="F669" i="5" s="1"/>
  <c r="H669" i="5"/>
  <c r="I669" i="5" s="1"/>
  <c r="G669" i="5"/>
  <c r="K668" i="5"/>
  <c r="J668" i="5"/>
  <c r="G668" i="5"/>
  <c r="F668" i="5"/>
  <c r="H668" i="5" s="1"/>
  <c r="I668" i="5" s="1"/>
  <c r="K667" i="5"/>
  <c r="J667" i="5"/>
  <c r="G667" i="5"/>
  <c r="F667" i="5"/>
  <c r="H667" i="5" s="1"/>
  <c r="I667" i="5" s="1"/>
  <c r="K666" i="5"/>
  <c r="J666" i="5"/>
  <c r="G666" i="5"/>
  <c r="F666" i="5"/>
  <c r="H666" i="5" s="1"/>
  <c r="I666" i="5" s="1"/>
  <c r="K665" i="5"/>
  <c r="J665" i="5"/>
  <c r="G665" i="5"/>
  <c r="F665" i="5"/>
  <c r="H665" i="5" s="1"/>
  <c r="I665" i="5" s="1"/>
  <c r="K664" i="5"/>
  <c r="J664" i="5"/>
  <c r="G664" i="5"/>
  <c r="F664" i="5"/>
  <c r="H664" i="5" s="1"/>
  <c r="I664" i="5" s="1"/>
  <c r="K663" i="5"/>
  <c r="J663" i="5"/>
  <c r="G663" i="5"/>
  <c r="F663" i="5"/>
  <c r="H663" i="5" s="1"/>
  <c r="I663" i="5" s="1"/>
  <c r="K662" i="5"/>
  <c r="J662" i="5"/>
  <c r="G662" i="5"/>
  <c r="F662" i="5"/>
  <c r="H662" i="5" s="1"/>
  <c r="I662" i="5" s="1"/>
  <c r="K661" i="5"/>
  <c r="J661" i="5"/>
  <c r="F661" i="5" s="1"/>
  <c r="H661" i="5" s="1"/>
  <c r="I661" i="5" s="1"/>
  <c r="G661" i="5"/>
  <c r="K660" i="5"/>
  <c r="J660" i="5"/>
  <c r="G660" i="5"/>
  <c r="F660" i="5"/>
  <c r="H660" i="5" s="1"/>
  <c r="I660" i="5" s="1"/>
  <c r="K659" i="5"/>
  <c r="J659" i="5"/>
  <c r="G659" i="5"/>
  <c r="F659" i="5"/>
  <c r="H659" i="5" s="1"/>
  <c r="I659" i="5" s="1"/>
  <c r="K658" i="5"/>
  <c r="J658" i="5"/>
  <c r="G658" i="5"/>
  <c r="F658" i="5"/>
  <c r="H658" i="5" s="1"/>
  <c r="I658" i="5" s="1"/>
  <c r="K657" i="5"/>
  <c r="J657" i="5"/>
  <c r="G657" i="5"/>
  <c r="F657" i="5"/>
  <c r="H657" i="5" s="1"/>
  <c r="I657" i="5" s="1"/>
  <c r="K656" i="5"/>
  <c r="J656" i="5"/>
  <c r="G656" i="5"/>
  <c r="F656" i="5"/>
  <c r="H656" i="5" s="1"/>
  <c r="I656" i="5" s="1"/>
  <c r="K655" i="5"/>
  <c r="J655" i="5"/>
  <c r="F655" i="5" s="1"/>
  <c r="H655" i="5" s="1"/>
  <c r="I655" i="5" s="1"/>
  <c r="G655" i="5"/>
  <c r="K654" i="5"/>
  <c r="J654" i="5"/>
  <c r="G654" i="5"/>
  <c r="F654" i="5"/>
  <c r="H654" i="5" s="1"/>
  <c r="I654" i="5" s="1"/>
  <c r="K653" i="5"/>
  <c r="J653" i="5"/>
  <c r="F653" i="5" s="1"/>
  <c r="H653" i="5"/>
  <c r="I653" i="5" s="1"/>
  <c r="G653" i="5"/>
  <c r="K652" i="5"/>
  <c r="J652" i="5"/>
  <c r="G652" i="5"/>
  <c r="F652" i="5"/>
  <c r="H652" i="5" s="1"/>
  <c r="I652" i="5" s="1"/>
  <c r="K651" i="5"/>
  <c r="J651" i="5"/>
  <c r="G651" i="5"/>
  <c r="F651" i="5"/>
  <c r="H651" i="5" s="1"/>
  <c r="I651" i="5" s="1"/>
  <c r="K650" i="5"/>
  <c r="J650" i="5"/>
  <c r="G650" i="5"/>
  <c r="F650" i="5"/>
  <c r="H650" i="5" s="1"/>
  <c r="I650" i="5" s="1"/>
  <c r="K649" i="5"/>
  <c r="J649" i="5"/>
  <c r="F649" i="5" s="1"/>
  <c r="H649" i="5" s="1"/>
  <c r="I649" i="5" s="1"/>
  <c r="G649" i="5"/>
  <c r="K648" i="5"/>
  <c r="J648" i="5"/>
  <c r="G648" i="5"/>
  <c r="F648" i="5"/>
  <c r="H648" i="5" s="1"/>
  <c r="I648" i="5" s="1"/>
  <c r="K647" i="5"/>
  <c r="J647" i="5"/>
  <c r="G647" i="5"/>
  <c r="F647" i="5"/>
  <c r="H647" i="5" s="1"/>
  <c r="I647" i="5" s="1"/>
  <c r="K646" i="5"/>
  <c r="J646" i="5"/>
  <c r="G646" i="5"/>
  <c r="F646" i="5"/>
  <c r="H646" i="5" s="1"/>
  <c r="I646" i="5" s="1"/>
  <c r="K645" i="5"/>
  <c r="J645" i="5"/>
  <c r="G645" i="5"/>
  <c r="F645" i="5"/>
  <c r="H645" i="5" s="1"/>
  <c r="I645" i="5" s="1"/>
  <c r="K644" i="5"/>
  <c r="J644" i="5"/>
  <c r="G644" i="5"/>
  <c r="F644" i="5"/>
  <c r="H644" i="5" s="1"/>
  <c r="I644" i="5" s="1"/>
  <c r="K643" i="5"/>
  <c r="J643" i="5"/>
  <c r="F643" i="5" s="1"/>
  <c r="H643" i="5" s="1"/>
  <c r="I643" i="5" s="1"/>
  <c r="G643" i="5"/>
  <c r="K642" i="5"/>
  <c r="J642" i="5"/>
  <c r="G642" i="5"/>
  <c r="F642" i="5"/>
  <c r="H642" i="5" s="1"/>
  <c r="I642" i="5" s="1"/>
  <c r="K641" i="5"/>
  <c r="J641" i="5"/>
  <c r="F641" i="5" s="1"/>
  <c r="H641" i="5" s="1"/>
  <c r="I641" i="5" s="1"/>
  <c r="G641" i="5"/>
  <c r="K640" i="5"/>
  <c r="J640" i="5"/>
  <c r="G640" i="5"/>
  <c r="F640" i="5"/>
  <c r="H640" i="5" s="1"/>
  <c r="I640" i="5" s="1"/>
  <c r="K639" i="5"/>
  <c r="J639" i="5"/>
  <c r="G639" i="5"/>
  <c r="F639" i="5"/>
  <c r="H639" i="5" s="1"/>
  <c r="I639" i="5" s="1"/>
  <c r="K638" i="5"/>
  <c r="J638" i="5"/>
  <c r="G638" i="5"/>
  <c r="F638" i="5"/>
  <c r="H638" i="5" s="1"/>
  <c r="I638" i="5" s="1"/>
  <c r="K637" i="5"/>
  <c r="J637" i="5"/>
  <c r="G637" i="5"/>
  <c r="F637" i="5"/>
  <c r="H637" i="5" s="1"/>
  <c r="I637" i="5" s="1"/>
  <c r="K636" i="5"/>
  <c r="J636" i="5"/>
  <c r="G636" i="5"/>
  <c r="F636" i="5"/>
  <c r="H636" i="5" s="1"/>
  <c r="I636" i="5" s="1"/>
  <c r="K635" i="5"/>
  <c r="J635" i="5"/>
  <c r="F635" i="5" s="1"/>
  <c r="H635" i="5" s="1"/>
  <c r="I635" i="5" s="1"/>
  <c r="G635" i="5"/>
  <c r="K634" i="5"/>
  <c r="J634" i="5"/>
  <c r="G634" i="5"/>
  <c r="F634" i="5"/>
  <c r="H634" i="5" s="1"/>
  <c r="I634" i="5" s="1"/>
  <c r="K633" i="5"/>
  <c r="J633" i="5"/>
  <c r="F633" i="5" s="1"/>
  <c r="H633" i="5" s="1"/>
  <c r="I633" i="5" s="1"/>
  <c r="G633" i="5"/>
  <c r="K632" i="5"/>
  <c r="J632" i="5"/>
  <c r="G632" i="5"/>
  <c r="F632" i="5"/>
  <c r="H632" i="5" s="1"/>
  <c r="I632" i="5" s="1"/>
  <c r="K631" i="5"/>
  <c r="J631" i="5"/>
  <c r="F631" i="5" s="1"/>
  <c r="H631" i="5" s="1"/>
  <c r="I631" i="5" s="1"/>
  <c r="G631" i="5"/>
  <c r="K630" i="5"/>
  <c r="J630" i="5"/>
  <c r="G630" i="5"/>
  <c r="F630" i="5"/>
  <c r="H630" i="5" s="1"/>
  <c r="I630" i="5" s="1"/>
  <c r="K629" i="5"/>
  <c r="J629" i="5"/>
  <c r="F629" i="5" s="1"/>
  <c r="H629" i="5" s="1"/>
  <c r="I629" i="5" s="1"/>
  <c r="G629" i="5"/>
  <c r="K628" i="5"/>
  <c r="J628" i="5"/>
  <c r="G628" i="5"/>
  <c r="F628" i="5"/>
  <c r="H628" i="5" s="1"/>
  <c r="I628" i="5" s="1"/>
  <c r="K627" i="5"/>
  <c r="J627" i="5"/>
  <c r="F627" i="5" s="1"/>
  <c r="H627" i="5" s="1"/>
  <c r="I627" i="5" s="1"/>
  <c r="G627" i="5"/>
  <c r="K626" i="5"/>
  <c r="J626" i="5"/>
  <c r="G626" i="5"/>
  <c r="F626" i="5"/>
  <c r="H626" i="5" s="1"/>
  <c r="I626" i="5" s="1"/>
  <c r="K625" i="5"/>
  <c r="J625" i="5"/>
  <c r="G625" i="5"/>
  <c r="F625" i="5"/>
  <c r="H625" i="5" s="1"/>
  <c r="I625" i="5" s="1"/>
  <c r="K624" i="5"/>
  <c r="J624" i="5"/>
  <c r="G624" i="5"/>
  <c r="F624" i="5"/>
  <c r="H624" i="5" s="1"/>
  <c r="I624" i="5" s="1"/>
  <c r="K623" i="5"/>
  <c r="J623" i="5"/>
  <c r="G623" i="5"/>
  <c r="F623" i="5"/>
  <c r="H623" i="5" s="1"/>
  <c r="I623" i="5" s="1"/>
  <c r="K622" i="5"/>
  <c r="J622" i="5"/>
  <c r="G622" i="5"/>
  <c r="F622" i="5"/>
  <c r="H622" i="5" s="1"/>
  <c r="I622" i="5" s="1"/>
  <c r="K621" i="5"/>
  <c r="J621" i="5"/>
  <c r="F621" i="5" s="1"/>
  <c r="H621" i="5" s="1"/>
  <c r="I621" i="5" s="1"/>
  <c r="G621" i="5"/>
  <c r="K620" i="5"/>
  <c r="J620" i="5"/>
  <c r="G620" i="5"/>
  <c r="F620" i="5"/>
  <c r="H620" i="5" s="1"/>
  <c r="I620" i="5" s="1"/>
  <c r="K619" i="5"/>
  <c r="J619" i="5"/>
  <c r="F619" i="5" s="1"/>
  <c r="H619" i="5" s="1"/>
  <c r="I619" i="5" s="1"/>
  <c r="G619" i="5"/>
  <c r="K618" i="5"/>
  <c r="J618" i="5"/>
  <c r="G618" i="5"/>
  <c r="F618" i="5"/>
  <c r="H618" i="5" s="1"/>
  <c r="I618" i="5" s="1"/>
  <c r="K617" i="5"/>
  <c r="J617" i="5"/>
  <c r="G617" i="5"/>
  <c r="F617" i="5"/>
  <c r="H617" i="5" s="1"/>
  <c r="I617" i="5" s="1"/>
  <c r="K616" i="5"/>
  <c r="J616" i="5"/>
  <c r="G616" i="5"/>
  <c r="F616" i="5"/>
  <c r="H616" i="5" s="1"/>
  <c r="I616" i="5" s="1"/>
  <c r="K615" i="5"/>
  <c r="J615" i="5"/>
  <c r="G615" i="5"/>
  <c r="F615" i="5"/>
  <c r="H615" i="5" s="1"/>
  <c r="I615" i="5" s="1"/>
  <c r="K614" i="5"/>
  <c r="J614" i="5"/>
  <c r="G614" i="5"/>
  <c r="F614" i="5"/>
  <c r="H614" i="5" s="1"/>
  <c r="I614" i="5" s="1"/>
  <c r="K613" i="5"/>
  <c r="J613" i="5"/>
  <c r="G613" i="5"/>
  <c r="F613" i="5"/>
  <c r="H613" i="5" s="1"/>
  <c r="I613" i="5" s="1"/>
  <c r="K612" i="5"/>
  <c r="J612" i="5"/>
  <c r="G612" i="5"/>
  <c r="F612" i="5"/>
  <c r="H612" i="5" s="1"/>
  <c r="I612" i="5" s="1"/>
  <c r="K611" i="5"/>
  <c r="J611" i="5"/>
  <c r="G611" i="5"/>
  <c r="F611" i="5"/>
  <c r="H611" i="5" s="1"/>
  <c r="I611" i="5" s="1"/>
  <c r="K610" i="5"/>
  <c r="J610" i="5"/>
  <c r="G610" i="5"/>
  <c r="F610" i="5"/>
  <c r="H610" i="5" s="1"/>
  <c r="I610" i="5" s="1"/>
  <c r="K609" i="5"/>
  <c r="J609" i="5"/>
  <c r="G609" i="5"/>
  <c r="F609" i="5"/>
  <c r="H609" i="5" s="1"/>
  <c r="I609" i="5" s="1"/>
  <c r="K608" i="5"/>
  <c r="J608" i="5"/>
  <c r="G608" i="5"/>
  <c r="F608" i="5"/>
  <c r="H608" i="5" s="1"/>
  <c r="I608" i="5" s="1"/>
  <c r="K607" i="5"/>
  <c r="J607" i="5"/>
  <c r="F607" i="5" s="1"/>
  <c r="H607" i="5" s="1"/>
  <c r="I607" i="5" s="1"/>
  <c r="G607" i="5"/>
  <c r="K606" i="5"/>
  <c r="J606" i="5"/>
  <c r="G606" i="5"/>
  <c r="F606" i="5"/>
  <c r="H606" i="5" s="1"/>
  <c r="I606" i="5" s="1"/>
  <c r="K605" i="5"/>
  <c r="J605" i="5"/>
  <c r="F605" i="5" s="1"/>
  <c r="H605" i="5" s="1"/>
  <c r="I605" i="5" s="1"/>
  <c r="G605" i="5"/>
  <c r="K604" i="5"/>
  <c r="J604" i="5"/>
  <c r="G604" i="5"/>
  <c r="F604" i="5"/>
  <c r="H604" i="5" s="1"/>
  <c r="I604" i="5" s="1"/>
  <c r="K603" i="5"/>
  <c r="J603" i="5"/>
  <c r="G603" i="5"/>
  <c r="F603" i="5"/>
  <c r="H603" i="5" s="1"/>
  <c r="I603" i="5" s="1"/>
  <c r="K602" i="5"/>
  <c r="J602" i="5"/>
  <c r="G602" i="5"/>
  <c r="F602" i="5"/>
  <c r="H602" i="5" s="1"/>
  <c r="I602" i="5" s="1"/>
  <c r="K601" i="5"/>
  <c r="J601" i="5"/>
  <c r="G601" i="5"/>
  <c r="F601" i="5"/>
  <c r="H601" i="5" s="1"/>
  <c r="I601" i="5" s="1"/>
  <c r="K600" i="5"/>
  <c r="J600" i="5"/>
  <c r="G600" i="5"/>
  <c r="F600" i="5"/>
  <c r="H600" i="5" s="1"/>
  <c r="I600" i="5" s="1"/>
  <c r="K599" i="5"/>
  <c r="J599" i="5"/>
  <c r="F599" i="5" s="1"/>
  <c r="H599" i="5" s="1"/>
  <c r="I599" i="5" s="1"/>
  <c r="G599" i="5"/>
  <c r="K598" i="5"/>
  <c r="J598" i="5"/>
  <c r="G598" i="5"/>
  <c r="F598" i="5"/>
  <c r="H598" i="5" s="1"/>
  <c r="I598" i="5" s="1"/>
  <c r="K597" i="5"/>
  <c r="J597" i="5"/>
  <c r="G597" i="5"/>
  <c r="F597" i="5"/>
  <c r="H597" i="5" s="1"/>
  <c r="I597" i="5" s="1"/>
  <c r="K596" i="5"/>
  <c r="J596" i="5"/>
  <c r="G596" i="5"/>
  <c r="F596" i="5"/>
  <c r="H596" i="5" s="1"/>
  <c r="I596" i="5" s="1"/>
  <c r="K595" i="5"/>
  <c r="J595" i="5"/>
  <c r="F595" i="5" s="1"/>
  <c r="H595" i="5" s="1"/>
  <c r="I595" i="5" s="1"/>
  <c r="G595" i="5"/>
  <c r="K594" i="5"/>
  <c r="J594" i="5"/>
  <c r="G594" i="5"/>
  <c r="F594" i="5"/>
  <c r="H594" i="5" s="1"/>
  <c r="I594" i="5" s="1"/>
  <c r="K593" i="5"/>
  <c r="J593" i="5"/>
  <c r="F593" i="5" s="1"/>
  <c r="H593" i="5" s="1"/>
  <c r="I593" i="5"/>
  <c r="G593" i="5"/>
  <c r="K592" i="5"/>
  <c r="J592" i="5"/>
  <c r="G592" i="5"/>
  <c r="F592" i="5"/>
  <c r="H592" i="5" s="1"/>
  <c r="I592" i="5" s="1"/>
  <c r="K591" i="5"/>
  <c r="J591" i="5"/>
  <c r="F591" i="5" s="1"/>
  <c r="H591" i="5" s="1"/>
  <c r="I591" i="5" s="1"/>
  <c r="G591" i="5"/>
  <c r="K590" i="5"/>
  <c r="J590" i="5"/>
  <c r="G590" i="5"/>
  <c r="F590" i="5"/>
  <c r="H590" i="5" s="1"/>
  <c r="I590" i="5" s="1"/>
  <c r="K589" i="5"/>
  <c r="J589" i="5"/>
  <c r="G589" i="5"/>
  <c r="F589" i="5"/>
  <c r="H589" i="5" s="1"/>
  <c r="I589" i="5" s="1"/>
  <c r="K588" i="5"/>
  <c r="J588" i="5"/>
  <c r="G588" i="5"/>
  <c r="F588" i="5"/>
  <c r="H588" i="5" s="1"/>
  <c r="I588" i="5" s="1"/>
  <c r="K587" i="5"/>
  <c r="J587" i="5"/>
  <c r="G587" i="5"/>
  <c r="F587" i="5"/>
  <c r="H587" i="5" s="1"/>
  <c r="I587" i="5" s="1"/>
  <c r="K586" i="5"/>
  <c r="J586" i="5"/>
  <c r="G586" i="5"/>
  <c r="F586" i="5"/>
  <c r="H586" i="5" s="1"/>
  <c r="I586" i="5" s="1"/>
  <c r="K585" i="5"/>
  <c r="J585" i="5"/>
  <c r="F585" i="5" s="1"/>
  <c r="H585" i="5" s="1"/>
  <c r="I585" i="5" s="1"/>
  <c r="G585" i="5"/>
  <c r="K584" i="5"/>
  <c r="J584" i="5"/>
  <c r="G584" i="5"/>
  <c r="F584" i="5"/>
  <c r="H584" i="5" s="1"/>
  <c r="I584" i="5" s="1"/>
  <c r="K583" i="5"/>
  <c r="J583" i="5"/>
  <c r="F583" i="5" s="1"/>
  <c r="H583" i="5" s="1"/>
  <c r="I583" i="5" s="1"/>
  <c r="G583" i="5"/>
  <c r="K582" i="5"/>
  <c r="J582" i="5"/>
  <c r="G582" i="5"/>
  <c r="F582" i="5"/>
  <c r="H582" i="5" s="1"/>
  <c r="I582" i="5" s="1"/>
  <c r="K581" i="5"/>
  <c r="J581" i="5"/>
  <c r="G581" i="5"/>
  <c r="F581" i="5"/>
  <c r="H581" i="5" s="1"/>
  <c r="I581" i="5" s="1"/>
  <c r="K580" i="5"/>
  <c r="J580" i="5"/>
  <c r="G580" i="5"/>
  <c r="F580" i="5"/>
  <c r="H580" i="5" s="1"/>
  <c r="I580" i="5" s="1"/>
  <c r="K579" i="5"/>
  <c r="J579" i="5"/>
  <c r="F579" i="5" s="1"/>
  <c r="H579" i="5" s="1"/>
  <c r="I579" i="5" s="1"/>
  <c r="G579" i="5"/>
  <c r="K578" i="5"/>
  <c r="J578" i="5"/>
  <c r="G578" i="5"/>
  <c r="F578" i="5"/>
  <c r="H578" i="5" s="1"/>
  <c r="I578" i="5" s="1"/>
  <c r="K577" i="5"/>
  <c r="J577" i="5"/>
  <c r="G577" i="5"/>
  <c r="F577" i="5"/>
  <c r="H577" i="5" s="1"/>
  <c r="I577" i="5" s="1"/>
  <c r="K576" i="5"/>
  <c r="J576" i="5"/>
  <c r="G576" i="5"/>
  <c r="F576" i="5"/>
  <c r="H576" i="5" s="1"/>
  <c r="I576" i="5" s="1"/>
  <c r="K575" i="5"/>
  <c r="J575" i="5"/>
  <c r="F575" i="5" s="1"/>
  <c r="H575" i="5" s="1"/>
  <c r="I575" i="5" s="1"/>
  <c r="G575" i="5"/>
  <c r="K574" i="5"/>
  <c r="J574" i="5"/>
  <c r="G574" i="5"/>
  <c r="F574" i="5"/>
  <c r="H574" i="5" s="1"/>
  <c r="I574" i="5" s="1"/>
  <c r="K573" i="5"/>
  <c r="J573" i="5"/>
  <c r="G573" i="5"/>
  <c r="F573" i="5"/>
  <c r="H573" i="5" s="1"/>
  <c r="I573" i="5" s="1"/>
  <c r="K572" i="5"/>
  <c r="J572" i="5"/>
  <c r="G572" i="5"/>
  <c r="F572" i="5"/>
  <c r="H572" i="5" s="1"/>
  <c r="I572" i="5" s="1"/>
  <c r="K571" i="5"/>
  <c r="J571" i="5"/>
  <c r="F571" i="5" s="1"/>
  <c r="H571" i="5" s="1"/>
  <c r="I571" i="5" s="1"/>
  <c r="G571" i="5"/>
  <c r="K570" i="5"/>
  <c r="J570" i="5"/>
  <c r="G570" i="5"/>
  <c r="F570" i="5"/>
  <c r="H570" i="5" s="1"/>
  <c r="I570" i="5" s="1"/>
  <c r="K569" i="5"/>
  <c r="J569" i="5"/>
  <c r="F569" i="5" s="1"/>
  <c r="H569" i="5" s="1"/>
  <c r="I569" i="5" s="1"/>
  <c r="G569" i="5"/>
  <c r="K568" i="5"/>
  <c r="J568" i="5"/>
  <c r="G568" i="5"/>
  <c r="F568" i="5"/>
  <c r="H568" i="5" s="1"/>
  <c r="I568" i="5" s="1"/>
  <c r="K567" i="5"/>
  <c r="J567" i="5"/>
  <c r="G567" i="5"/>
  <c r="F567" i="5"/>
  <c r="H567" i="5" s="1"/>
  <c r="I567" i="5" s="1"/>
  <c r="K566" i="5"/>
  <c r="J566" i="5"/>
  <c r="G566" i="5"/>
  <c r="F566" i="5"/>
  <c r="H566" i="5" s="1"/>
  <c r="I566" i="5" s="1"/>
  <c r="K565" i="5"/>
  <c r="J565" i="5"/>
  <c r="G565" i="5"/>
  <c r="F565" i="5"/>
  <c r="H565" i="5" s="1"/>
  <c r="I565" i="5" s="1"/>
  <c r="K564" i="5"/>
  <c r="J564" i="5"/>
  <c r="G564" i="5"/>
  <c r="F564" i="5"/>
  <c r="H564" i="5" s="1"/>
  <c r="I564" i="5" s="1"/>
  <c r="K563" i="5"/>
  <c r="J563" i="5"/>
  <c r="F563" i="5" s="1"/>
  <c r="H563" i="5" s="1"/>
  <c r="I563" i="5" s="1"/>
  <c r="G563" i="5"/>
  <c r="K562" i="5"/>
  <c r="J562" i="5"/>
  <c r="G562" i="5"/>
  <c r="F562" i="5"/>
  <c r="H562" i="5" s="1"/>
  <c r="I562" i="5" s="1"/>
  <c r="K561" i="5"/>
  <c r="J561" i="5"/>
  <c r="G561" i="5"/>
  <c r="F561" i="5"/>
  <c r="H561" i="5" s="1"/>
  <c r="I561" i="5" s="1"/>
  <c r="K560" i="5"/>
  <c r="J560" i="5"/>
  <c r="G560" i="5"/>
  <c r="F560" i="5"/>
  <c r="H560" i="5" s="1"/>
  <c r="I560" i="5" s="1"/>
  <c r="K559" i="5"/>
  <c r="J559" i="5"/>
  <c r="F559" i="5" s="1"/>
  <c r="H559" i="5" s="1"/>
  <c r="I559" i="5" s="1"/>
  <c r="G559" i="5"/>
  <c r="K558" i="5"/>
  <c r="J558" i="5"/>
  <c r="G558" i="5"/>
  <c r="F558" i="5"/>
  <c r="H558" i="5" s="1"/>
  <c r="I558" i="5" s="1"/>
  <c r="K557" i="5"/>
  <c r="J557" i="5"/>
  <c r="G557" i="5"/>
  <c r="F557" i="5"/>
  <c r="H557" i="5" s="1"/>
  <c r="I557" i="5" s="1"/>
  <c r="K556" i="5"/>
  <c r="J556" i="5"/>
  <c r="G556" i="5"/>
  <c r="F556" i="5"/>
  <c r="H556" i="5" s="1"/>
  <c r="I556" i="5" s="1"/>
  <c r="K555" i="5"/>
  <c r="J555" i="5"/>
  <c r="F555" i="5" s="1"/>
  <c r="H555" i="5" s="1"/>
  <c r="I555" i="5" s="1"/>
  <c r="G555" i="5"/>
  <c r="K554" i="5"/>
  <c r="J554" i="5"/>
  <c r="G554" i="5"/>
  <c r="F554" i="5"/>
  <c r="H554" i="5" s="1"/>
  <c r="I554" i="5" s="1"/>
  <c r="K553" i="5"/>
  <c r="J553" i="5"/>
  <c r="G553" i="5"/>
  <c r="F553" i="5"/>
  <c r="H553" i="5" s="1"/>
  <c r="I553" i="5" s="1"/>
  <c r="K552" i="5"/>
  <c r="J552" i="5"/>
  <c r="G552" i="5"/>
  <c r="F552" i="5"/>
  <c r="H552" i="5" s="1"/>
  <c r="I552" i="5" s="1"/>
  <c r="K551" i="5"/>
  <c r="J551" i="5"/>
  <c r="G551" i="5"/>
  <c r="F551" i="5"/>
  <c r="H551" i="5" s="1"/>
  <c r="I551" i="5" s="1"/>
  <c r="K550" i="5"/>
  <c r="J550" i="5"/>
  <c r="G550" i="5"/>
  <c r="F550" i="5"/>
  <c r="H550" i="5" s="1"/>
  <c r="I550" i="5" s="1"/>
  <c r="K549" i="5"/>
  <c r="J549" i="5"/>
  <c r="F549" i="5" s="1"/>
  <c r="H549" i="5" s="1"/>
  <c r="I549" i="5" s="1"/>
  <c r="G549" i="5"/>
  <c r="K548" i="5"/>
  <c r="J548" i="5"/>
  <c r="G548" i="5"/>
  <c r="F548" i="5"/>
  <c r="H548" i="5" s="1"/>
  <c r="I548" i="5" s="1"/>
  <c r="K547" i="5"/>
  <c r="J547" i="5"/>
  <c r="F547" i="5" s="1"/>
  <c r="H547" i="5" s="1"/>
  <c r="I547" i="5" s="1"/>
  <c r="G547" i="5"/>
  <c r="K546" i="5"/>
  <c r="J546" i="5"/>
  <c r="G546" i="5"/>
  <c r="F546" i="5"/>
  <c r="H546" i="5" s="1"/>
  <c r="I546" i="5" s="1"/>
  <c r="K545" i="5"/>
  <c r="J545" i="5"/>
  <c r="F545" i="5" s="1"/>
  <c r="H545" i="5" s="1"/>
  <c r="I545" i="5" s="1"/>
  <c r="G545" i="5"/>
  <c r="K544" i="5"/>
  <c r="J544" i="5"/>
  <c r="G544" i="5"/>
  <c r="F544" i="5"/>
  <c r="H544" i="5" s="1"/>
  <c r="I544" i="5" s="1"/>
  <c r="K543" i="5"/>
  <c r="J543" i="5"/>
  <c r="F543" i="5" s="1"/>
  <c r="H543" i="5" s="1"/>
  <c r="I543" i="5" s="1"/>
  <c r="G543" i="5"/>
  <c r="K542" i="5"/>
  <c r="J542" i="5"/>
  <c r="G542" i="5"/>
  <c r="F542" i="5"/>
  <c r="H542" i="5" s="1"/>
  <c r="I542" i="5" s="1"/>
  <c r="K541" i="5"/>
  <c r="J541" i="5"/>
  <c r="F541" i="5" s="1"/>
  <c r="H541" i="5" s="1"/>
  <c r="I541" i="5" s="1"/>
  <c r="G541" i="5"/>
  <c r="K540" i="5"/>
  <c r="J540" i="5"/>
  <c r="G540" i="5"/>
  <c r="F540" i="5"/>
  <c r="H540" i="5" s="1"/>
  <c r="I540" i="5" s="1"/>
  <c r="K539" i="5"/>
  <c r="J539" i="5"/>
  <c r="F539" i="5" s="1"/>
  <c r="H539" i="5" s="1"/>
  <c r="I539" i="5" s="1"/>
  <c r="G539" i="5"/>
  <c r="K538" i="5"/>
  <c r="J538" i="5"/>
  <c r="G538" i="5"/>
  <c r="F538" i="5"/>
  <c r="H538" i="5" s="1"/>
  <c r="I538" i="5" s="1"/>
  <c r="K537" i="5"/>
  <c r="J537" i="5"/>
  <c r="F537" i="5" s="1"/>
  <c r="H537" i="5" s="1"/>
  <c r="I537" i="5" s="1"/>
  <c r="G537" i="5"/>
  <c r="K536" i="5"/>
  <c r="J536" i="5"/>
  <c r="G536" i="5"/>
  <c r="F536" i="5"/>
  <c r="H536" i="5" s="1"/>
  <c r="I536" i="5" s="1"/>
  <c r="K535" i="5"/>
  <c r="J535" i="5"/>
  <c r="F535" i="5" s="1"/>
  <c r="H535" i="5" s="1"/>
  <c r="I535" i="5" s="1"/>
  <c r="G535" i="5"/>
  <c r="K534" i="5"/>
  <c r="J534" i="5"/>
  <c r="G534" i="5"/>
  <c r="F534" i="5"/>
  <c r="H534" i="5" s="1"/>
  <c r="I534" i="5" s="1"/>
  <c r="K533" i="5"/>
  <c r="J533" i="5"/>
  <c r="F533" i="5" s="1"/>
  <c r="H533" i="5" s="1"/>
  <c r="I533" i="5" s="1"/>
  <c r="G533" i="5"/>
  <c r="K532" i="5"/>
  <c r="J532" i="5"/>
  <c r="G532" i="5"/>
  <c r="F532" i="5"/>
  <c r="H532" i="5" s="1"/>
  <c r="I532" i="5" s="1"/>
  <c r="K531" i="5"/>
  <c r="J531" i="5"/>
  <c r="F531" i="5" s="1"/>
  <c r="H531" i="5" s="1"/>
  <c r="I531" i="5" s="1"/>
  <c r="G531" i="5"/>
  <c r="K530" i="5"/>
  <c r="J530" i="5"/>
  <c r="G530" i="5"/>
  <c r="F530" i="5"/>
  <c r="H530" i="5" s="1"/>
  <c r="I530" i="5" s="1"/>
  <c r="K529" i="5"/>
  <c r="J529" i="5"/>
  <c r="F529" i="5" s="1"/>
  <c r="H529" i="5" s="1"/>
  <c r="I529" i="5" s="1"/>
  <c r="G529" i="5"/>
  <c r="K528" i="5"/>
  <c r="J528" i="5"/>
  <c r="G528" i="5"/>
  <c r="F528" i="5"/>
  <c r="H528" i="5" s="1"/>
  <c r="I528" i="5" s="1"/>
  <c r="K527" i="5"/>
  <c r="J527" i="5"/>
  <c r="F527" i="5" s="1"/>
  <c r="H527" i="5" s="1"/>
  <c r="I527" i="5" s="1"/>
  <c r="G527" i="5"/>
  <c r="K526" i="5"/>
  <c r="J526" i="5"/>
  <c r="G526" i="5"/>
  <c r="F526" i="5"/>
  <c r="H526" i="5" s="1"/>
  <c r="I526" i="5" s="1"/>
  <c r="K525" i="5"/>
  <c r="J525" i="5"/>
  <c r="F525" i="5" s="1"/>
  <c r="H525" i="5" s="1"/>
  <c r="I525" i="5" s="1"/>
  <c r="G525" i="5"/>
  <c r="K524" i="5"/>
  <c r="J524" i="5"/>
  <c r="G524" i="5"/>
  <c r="F524" i="5"/>
  <c r="H524" i="5" s="1"/>
  <c r="I524" i="5" s="1"/>
  <c r="K523" i="5"/>
  <c r="J523" i="5"/>
  <c r="F523" i="5" s="1"/>
  <c r="H523" i="5" s="1"/>
  <c r="I523" i="5" s="1"/>
  <c r="G523" i="5"/>
  <c r="K522" i="5"/>
  <c r="J522" i="5"/>
  <c r="G522" i="5"/>
  <c r="F522" i="5"/>
  <c r="H522" i="5" s="1"/>
  <c r="I522" i="5" s="1"/>
  <c r="K521" i="5"/>
  <c r="J521" i="5"/>
  <c r="F521" i="5" s="1"/>
  <c r="H521" i="5" s="1"/>
  <c r="I521" i="5" s="1"/>
  <c r="G521" i="5"/>
  <c r="K520" i="5"/>
  <c r="J520" i="5"/>
  <c r="G520" i="5"/>
  <c r="F520" i="5"/>
  <c r="H520" i="5" s="1"/>
  <c r="I520" i="5" s="1"/>
  <c r="K519" i="5"/>
  <c r="J519" i="5"/>
  <c r="F519" i="5" s="1"/>
  <c r="H519" i="5"/>
  <c r="I519" i="5" s="1"/>
  <c r="G519" i="5"/>
  <c r="K518" i="5"/>
  <c r="J518" i="5"/>
  <c r="G518" i="5"/>
  <c r="F518" i="5"/>
  <c r="H518" i="5" s="1"/>
  <c r="I518" i="5" s="1"/>
  <c r="K517" i="5"/>
  <c r="J517" i="5"/>
  <c r="F517" i="5" s="1"/>
  <c r="H517" i="5" s="1"/>
  <c r="I517" i="5" s="1"/>
  <c r="G517" i="5"/>
  <c r="K516" i="5"/>
  <c r="J516" i="5"/>
  <c r="G516" i="5"/>
  <c r="F516" i="5"/>
  <c r="H516" i="5" s="1"/>
  <c r="I516" i="5" s="1"/>
  <c r="K515" i="5"/>
  <c r="J515" i="5"/>
  <c r="F515" i="5" s="1"/>
  <c r="H515" i="5" s="1"/>
  <c r="I515" i="5" s="1"/>
  <c r="G515" i="5"/>
  <c r="K514" i="5"/>
  <c r="J514" i="5"/>
  <c r="G514" i="5"/>
  <c r="F514" i="5"/>
  <c r="H514" i="5" s="1"/>
  <c r="I514" i="5" s="1"/>
  <c r="K513" i="5"/>
  <c r="J513" i="5"/>
  <c r="F513" i="5" s="1"/>
  <c r="H513" i="5" s="1"/>
  <c r="I513" i="5" s="1"/>
  <c r="G513" i="5"/>
  <c r="K512" i="5"/>
  <c r="J512" i="5"/>
  <c r="G512" i="5"/>
  <c r="F512" i="5"/>
  <c r="H512" i="5" s="1"/>
  <c r="I512" i="5" s="1"/>
  <c r="K511" i="5"/>
  <c r="J511" i="5"/>
  <c r="F511" i="5" s="1"/>
  <c r="H511" i="5" s="1"/>
  <c r="I511" i="5"/>
  <c r="G511" i="5"/>
  <c r="K510" i="5"/>
  <c r="J510" i="5"/>
  <c r="G510" i="5"/>
  <c r="F510" i="5"/>
  <c r="H510" i="5" s="1"/>
  <c r="I510" i="5" s="1"/>
  <c r="K509" i="5"/>
  <c r="J509" i="5"/>
  <c r="F509" i="5" s="1"/>
  <c r="H509" i="5" s="1"/>
  <c r="I509" i="5" s="1"/>
  <c r="G509" i="5"/>
  <c r="K508" i="5"/>
  <c r="J508" i="5"/>
  <c r="G508" i="5"/>
  <c r="F508" i="5"/>
  <c r="H508" i="5" s="1"/>
  <c r="I508" i="5" s="1"/>
  <c r="K507" i="5"/>
  <c r="J507" i="5"/>
  <c r="F507" i="5" s="1"/>
  <c r="H507" i="5" s="1"/>
  <c r="I507" i="5" s="1"/>
  <c r="G507" i="5"/>
  <c r="K506" i="5"/>
  <c r="J506" i="5"/>
  <c r="G506" i="5"/>
  <c r="F506" i="5"/>
  <c r="H506" i="5" s="1"/>
  <c r="I506" i="5" s="1"/>
  <c r="K505" i="5"/>
  <c r="J505" i="5"/>
  <c r="F505" i="5" s="1"/>
  <c r="H505" i="5" s="1"/>
  <c r="I505" i="5" s="1"/>
  <c r="G505" i="5"/>
  <c r="K504" i="5"/>
  <c r="J504" i="5"/>
  <c r="G504" i="5"/>
  <c r="F504" i="5"/>
  <c r="H504" i="5" s="1"/>
  <c r="I504" i="5" s="1"/>
  <c r="K503" i="5"/>
  <c r="J503" i="5"/>
  <c r="F503" i="5" s="1"/>
  <c r="H503" i="5" s="1"/>
  <c r="I503" i="5" s="1"/>
  <c r="G503" i="5"/>
  <c r="K502" i="5"/>
  <c r="J502" i="5"/>
  <c r="G502" i="5"/>
  <c r="F502" i="5"/>
  <c r="H502" i="5" s="1"/>
  <c r="I502" i="5" s="1"/>
  <c r="K501" i="5"/>
  <c r="J501" i="5"/>
  <c r="F501" i="5" s="1"/>
  <c r="H501" i="5" s="1"/>
  <c r="I501" i="5" s="1"/>
  <c r="G501" i="5"/>
  <c r="K500" i="5"/>
  <c r="J500" i="5"/>
  <c r="G500" i="5"/>
  <c r="F500" i="5"/>
  <c r="H500" i="5" s="1"/>
  <c r="I500" i="5" s="1"/>
  <c r="K499" i="5"/>
  <c r="J499" i="5"/>
  <c r="F499" i="5" s="1"/>
  <c r="H499" i="5" s="1"/>
  <c r="I499" i="5" s="1"/>
  <c r="G499" i="5"/>
  <c r="K498" i="5"/>
  <c r="J498" i="5"/>
  <c r="G498" i="5"/>
  <c r="F498" i="5"/>
  <c r="H498" i="5" s="1"/>
  <c r="I498" i="5" s="1"/>
  <c r="K497" i="5"/>
  <c r="J497" i="5"/>
  <c r="F497" i="5" s="1"/>
  <c r="H497" i="5" s="1"/>
  <c r="G497" i="5"/>
  <c r="K496" i="5"/>
  <c r="J496" i="5"/>
  <c r="G496" i="5"/>
  <c r="F496" i="5"/>
  <c r="H496" i="5" s="1"/>
  <c r="I496" i="5" s="1"/>
  <c r="K495" i="5"/>
  <c r="J495" i="5"/>
  <c r="F495" i="5" s="1"/>
  <c r="H495" i="5" s="1"/>
  <c r="G495" i="5"/>
  <c r="K494" i="5"/>
  <c r="J494" i="5"/>
  <c r="G494" i="5"/>
  <c r="F494" i="5"/>
  <c r="H494" i="5" s="1"/>
  <c r="I494" i="5" s="1"/>
  <c r="K493" i="5"/>
  <c r="J493" i="5"/>
  <c r="F493" i="5" s="1"/>
  <c r="H493" i="5" s="1"/>
  <c r="G493" i="5"/>
  <c r="K492" i="5"/>
  <c r="J492" i="5"/>
  <c r="G492" i="5"/>
  <c r="F492" i="5"/>
  <c r="H492" i="5" s="1"/>
  <c r="I492" i="5" s="1"/>
  <c r="K491" i="5"/>
  <c r="J491" i="5"/>
  <c r="F491" i="5" s="1"/>
  <c r="H491" i="5" s="1"/>
  <c r="I491" i="5" s="1"/>
  <c r="G491" i="5"/>
  <c r="K490" i="5"/>
  <c r="J490" i="5"/>
  <c r="G490" i="5"/>
  <c r="F490" i="5"/>
  <c r="H490" i="5" s="1"/>
  <c r="I490" i="5" s="1"/>
  <c r="K489" i="5"/>
  <c r="J489" i="5"/>
  <c r="F489" i="5" s="1"/>
  <c r="H489" i="5" s="1"/>
  <c r="I489" i="5" s="1"/>
  <c r="G489" i="5"/>
  <c r="K488" i="5"/>
  <c r="J488" i="5"/>
  <c r="G488" i="5"/>
  <c r="F488" i="5"/>
  <c r="H488" i="5" s="1"/>
  <c r="I488" i="5" s="1"/>
  <c r="K487" i="5"/>
  <c r="J487" i="5"/>
  <c r="F487" i="5" s="1"/>
  <c r="H487" i="5" s="1"/>
  <c r="I487" i="5" s="1"/>
  <c r="G487" i="5"/>
  <c r="K486" i="5"/>
  <c r="J486" i="5"/>
  <c r="G486" i="5"/>
  <c r="F486" i="5"/>
  <c r="H486" i="5" s="1"/>
  <c r="I486" i="5" s="1"/>
  <c r="K485" i="5"/>
  <c r="J485" i="5"/>
  <c r="F485" i="5" s="1"/>
  <c r="H485" i="5" s="1"/>
  <c r="G485" i="5"/>
  <c r="K484" i="5"/>
  <c r="J484" i="5"/>
  <c r="G484" i="5"/>
  <c r="F484" i="5"/>
  <c r="H484" i="5" s="1"/>
  <c r="I484" i="5" s="1"/>
  <c r="K483" i="5"/>
  <c r="J483" i="5"/>
  <c r="F483" i="5" s="1"/>
  <c r="H483" i="5" s="1"/>
  <c r="G483" i="5"/>
  <c r="K482" i="5"/>
  <c r="J482" i="5"/>
  <c r="G482" i="5"/>
  <c r="F482" i="5"/>
  <c r="H482" i="5" s="1"/>
  <c r="I482" i="5" s="1"/>
  <c r="K481" i="5"/>
  <c r="J481" i="5"/>
  <c r="F481" i="5" s="1"/>
  <c r="H481" i="5" s="1"/>
  <c r="I481" i="5" s="1"/>
  <c r="G481" i="5"/>
  <c r="K480" i="5"/>
  <c r="J480" i="5"/>
  <c r="G480" i="5"/>
  <c r="F480" i="5"/>
  <c r="H480" i="5" s="1"/>
  <c r="I480" i="5" s="1"/>
  <c r="K479" i="5"/>
  <c r="J479" i="5"/>
  <c r="F479" i="5" s="1"/>
  <c r="H479" i="5" s="1"/>
  <c r="I479" i="5" s="1"/>
  <c r="G479" i="5"/>
  <c r="K478" i="5"/>
  <c r="J478" i="5"/>
  <c r="G478" i="5"/>
  <c r="F478" i="5"/>
  <c r="H478" i="5" s="1"/>
  <c r="I478" i="5" s="1"/>
  <c r="K477" i="5"/>
  <c r="J477" i="5"/>
  <c r="F477" i="5" s="1"/>
  <c r="H477" i="5" s="1"/>
  <c r="G477" i="5"/>
  <c r="K476" i="5"/>
  <c r="J476" i="5"/>
  <c r="G476" i="5"/>
  <c r="F476" i="5"/>
  <c r="H476" i="5" s="1"/>
  <c r="I476" i="5" s="1"/>
  <c r="K475" i="5"/>
  <c r="J475" i="5"/>
  <c r="F475" i="5" s="1"/>
  <c r="H475" i="5" s="1"/>
  <c r="I475" i="5" s="1"/>
  <c r="G475" i="5"/>
  <c r="K474" i="5"/>
  <c r="J474" i="5"/>
  <c r="G474" i="5"/>
  <c r="F474" i="5"/>
  <c r="H474" i="5" s="1"/>
  <c r="I474" i="5" s="1"/>
  <c r="K473" i="5"/>
  <c r="J473" i="5"/>
  <c r="F473" i="5" s="1"/>
  <c r="H473" i="5" s="1"/>
  <c r="I473" i="5" s="1"/>
  <c r="G473" i="5"/>
  <c r="K472" i="5"/>
  <c r="J472" i="5"/>
  <c r="G472" i="5"/>
  <c r="F472" i="5"/>
  <c r="H472" i="5" s="1"/>
  <c r="I472" i="5" s="1"/>
  <c r="K471" i="5"/>
  <c r="J471" i="5"/>
  <c r="F471" i="5" s="1"/>
  <c r="H471" i="5" s="1"/>
  <c r="G471" i="5"/>
  <c r="K470" i="5"/>
  <c r="J470" i="5"/>
  <c r="G470" i="5"/>
  <c r="F470" i="5"/>
  <c r="H470" i="5" s="1"/>
  <c r="I470" i="5" s="1"/>
  <c r="K469" i="5"/>
  <c r="J469" i="5"/>
  <c r="F469" i="5" s="1"/>
  <c r="H469" i="5" s="1"/>
  <c r="G469" i="5"/>
  <c r="K468" i="5"/>
  <c r="J468" i="5"/>
  <c r="G468" i="5"/>
  <c r="F468" i="5"/>
  <c r="H468" i="5" s="1"/>
  <c r="I468" i="5" s="1"/>
  <c r="K467" i="5"/>
  <c r="J467" i="5"/>
  <c r="F467" i="5" s="1"/>
  <c r="H467" i="5" s="1"/>
  <c r="I467" i="5" s="1"/>
  <c r="G467" i="5"/>
  <c r="K466" i="5"/>
  <c r="J466" i="5"/>
  <c r="G466" i="5"/>
  <c r="F466" i="5"/>
  <c r="H466" i="5" s="1"/>
  <c r="I466" i="5" s="1"/>
  <c r="K465" i="5"/>
  <c r="J465" i="5"/>
  <c r="F465" i="5" s="1"/>
  <c r="H465" i="5" s="1"/>
  <c r="I465" i="5" s="1"/>
  <c r="G465" i="5"/>
  <c r="K464" i="5"/>
  <c r="J464" i="5"/>
  <c r="G464" i="5"/>
  <c r="F464" i="5"/>
  <c r="H464" i="5" s="1"/>
  <c r="I464" i="5" s="1"/>
  <c r="K463" i="5"/>
  <c r="J463" i="5"/>
  <c r="F463" i="5" s="1"/>
  <c r="H463" i="5" s="1"/>
  <c r="I463" i="5" s="1"/>
  <c r="G463" i="5"/>
  <c r="K462" i="5"/>
  <c r="J462" i="5"/>
  <c r="G462" i="5"/>
  <c r="F462" i="5"/>
  <c r="H462" i="5" s="1"/>
  <c r="I462" i="5" s="1"/>
  <c r="K461" i="5"/>
  <c r="J461" i="5"/>
  <c r="G461" i="5"/>
  <c r="F461" i="5"/>
  <c r="H461" i="5" s="1"/>
  <c r="K460" i="5"/>
  <c r="J460" i="5"/>
  <c r="G460" i="5"/>
  <c r="F460" i="5"/>
  <c r="H460" i="5" s="1"/>
  <c r="I460" i="5" s="1"/>
  <c r="K459" i="5"/>
  <c r="J459" i="5"/>
  <c r="G459" i="5"/>
  <c r="F459" i="5"/>
  <c r="H459" i="5" s="1"/>
  <c r="K458" i="5"/>
  <c r="J458" i="5"/>
  <c r="G458" i="5"/>
  <c r="F458" i="5"/>
  <c r="H458" i="5" s="1"/>
  <c r="I458" i="5" s="1"/>
  <c r="K457" i="5"/>
  <c r="J457" i="5"/>
  <c r="G457" i="5"/>
  <c r="F457" i="5"/>
  <c r="H457" i="5" s="1"/>
  <c r="K456" i="5"/>
  <c r="J456" i="5"/>
  <c r="G456" i="5"/>
  <c r="F456" i="5"/>
  <c r="H456" i="5" s="1"/>
  <c r="I456" i="5" s="1"/>
  <c r="K455" i="5"/>
  <c r="J455" i="5"/>
  <c r="G455" i="5"/>
  <c r="F455" i="5"/>
  <c r="H455" i="5" s="1"/>
  <c r="K454" i="5"/>
  <c r="J454" i="5"/>
  <c r="G454" i="5"/>
  <c r="F454" i="5"/>
  <c r="H454" i="5" s="1"/>
  <c r="I454" i="5" s="1"/>
  <c r="K453" i="5"/>
  <c r="J453" i="5"/>
  <c r="G453" i="5"/>
  <c r="F453" i="5"/>
  <c r="H453" i="5" s="1"/>
  <c r="K452" i="5"/>
  <c r="J452" i="5"/>
  <c r="G452" i="5"/>
  <c r="F452" i="5"/>
  <c r="H452" i="5" s="1"/>
  <c r="I452" i="5" s="1"/>
  <c r="K451" i="5"/>
  <c r="J451" i="5"/>
  <c r="G451" i="5"/>
  <c r="F451" i="5"/>
  <c r="H451" i="5" s="1"/>
  <c r="K450" i="5"/>
  <c r="J450" i="5"/>
  <c r="G450" i="5"/>
  <c r="F450" i="5"/>
  <c r="H450" i="5" s="1"/>
  <c r="I450" i="5" s="1"/>
  <c r="K449" i="5"/>
  <c r="J449" i="5"/>
  <c r="G449" i="5"/>
  <c r="F449" i="5"/>
  <c r="H449" i="5" s="1"/>
  <c r="K448" i="5"/>
  <c r="J448" i="5"/>
  <c r="G448" i="5"/>
  <c r="F448" i="5"/>
  <c r="H448" i="5" s="1"/>
  <c r="I448" i="5" s="1"/>
  <c r="K447" i="5"/>
  <c r="J447" i="5"/>
  <c r="G447" i="5"/>
  <c r="F447" i="5"/>
  <c r="H447" i="5" s="1"/>
  <c r="K446" i="5"/>
  <c r="J446" i="5"/>
  <c r="G446" i="5"/>
  <c r="F446" i="5"/>
  <c r="H446" i="5" s="1"/>
  <c r="I446" i="5" s="1"/>
  <c r="K445" i="5"/>
  <c r="J445" i="5"/>
  <c r="G445" i="5"/>
  <c r="F445" i="5"/>
  <c r="H445" i="5" s="1"/>
  <c r="K444" i="5"/>
  <c r="J444" i="5"/>
  <c r="G444" i="5"/>
  <c r="F444" i="5"/>
  <c r="H444" i="5" s="1"/>
  <c r="I444" i="5" s="1"/>
  <c r="K443" i="5"/>
  <c r="J443" i="5"/>
  <c r="G443" i="5"/>
  <c r="F443" i="5"/>
  <c r="H443" i="5" s="1"/>
  <c r="K442" i="5"/>
  <c r="J442" i="5"/>
  <c r="G442" i="5"/>
  <c r="F442" i="5"/>
  <c r="H442" i="5" s="1"/>
  <c r="I442" i="5" s="1"/>
  <c r="K441" i="5"/>
  <c r="J441" i="5"/>
  <c r="G441" i="5"/>
  <c r="F441" i="5"/>
  <c r="H441" i="5" s="1"/>
  <c r="K440" i="5"/>
  <c r="J440" i="5"/>
  <c r="G440" i="5"/>
  <c r="F440" i="5"/>
  <c r="H440" i="5" s="1"/>
  <c r="I440" i="5" s="1"/>
  <c r="K439" i="5"/>
  <c r="J439" i="5"/>
  <c r="G439" i="5"/>
  <c r="F439" i="5"/>
  <c r="H439" i="5" s="1"/>
  <c r="K438" i="5"/>
  <c r="J438" i="5"/>
  <c r="G438" i="5"/>
  <c r="F438" i="5"/>
  <c r="H438" i="5" s="1"/>
  <c r="I438" i="5" s="1"/>
  <c r="K437" i="5"/>
  <c r="J437" i="5"/>
  <c r="G437" i="5"/>
  <c r="F437" i="5"/>
  <c r="H437" i="5" s="1"/>
  <c r="K436" i="5"/>
  <c r="J436" i="5"/>
  <c r="G436" i="5"/>
  <c r="F436" i="5"/>
  <c r="H436" i="5" s="1"/>
  <c r="I436" i="5" s="1"/>
  <c r="K435" i="5"/>
  <c r="J435" i="5"/>
  <c r="G435" i="5"/>
  <c r="F435" i="5"/>
  <c r="H435" i="5" s="1"/>
  <c r="K434" i="5"/>
  <c r="J434" i="5"/>
  <c r="G434" i="5"/>
  <c r="F434" i="5"/>
  <c r="H434" i="5" s="1"/>
  <c r="I434" i="5" s="1"/>
  <c r="K433" i="5"/>
  <c r="J433" i="5"/>
  <c r="G433" i="5"/>
  <c r="F433" i="5"/>
  <c r="H433" i="5" s="1"/>
  <c r="K432" i="5"/>
  <c r="J432" i="5"/>
  <c r="G432" i="5"/>
  <c r="F432" i="5"/>
  <c r="H432" i="5" s="1"/>
  <c r="I432" i="5" s="1"/>
  <c r="K431" i="5"/>
  <c r="J431" i="5"/>
  <c r="G431" i="5"/>
  <c r="F431" i="5"/>
  <c r="H431" i="5" s="1"/>
  <c r="K430" i="5"/>
  <c r="J430" i="5"/>
  <c r="G430" i="5"/>
  <c r="F430" i="5"/>
  <c r="H430" i="5" s="1"/>
  <c r="I430" i="5" s="1"/>
  <c r="K429" i="5"/>
  <c r="J429" i="5"/>
  <c r="G429" i="5"/>
  <c r="F429" i="5"/>
  <c r="H429" i="5" s="1"/>
  <c r="K428" i="5"/>
  <c r="J428" i="5"/>
  <c r="G428" i="5"/>
  <c r="F428" i="5"/>
  <c r="H428" i="5" s="1"/>
  <c r="I428" i="5" s="1"/>
  <c r="K427" i="5"/>
  <c r="J427" i="5"/>
  <c r="G427" i="5"/>
  <c r="F427" i="5"/>
  <c r="H427" i="5" s="1"/>
  <c r="K426" i="5"/>
  <c r="J426" i="5"/>
  <c r="G426" i="5"/>
  <c r="F426" i="5"/>
  <c r="H426" i="5" s="1"/>
  <c r="I426" i="5" s="1"/>
  <c r="K425" i="5"/>
  <c r="J425" i="5"/>
  <c r="G425" i="5"/>
  <c r="F425" i="5"/>
  <c r="H425" i="5" s="1"/>
  <c r="K424" i="5"/>
  <c r="J424" i="5"/>
  <c r="G424" i="5"/>
  <c r="F424" i="5"/>
  <c r="H424" i="5" s="1"/>
  <c r="I424" i="5" s="1"/>
  <c r="K423" i="5"/>
  <c r="J423" i="5"/>
  <c r="G423" i="5"/>
  <c r="F423" i="5"/>
  <c r="H423" i="5" s="1"/>
  <c r="K422" i="5"/>
  <c r="J422" i="5"/>
  <c r="G422" i="5"/>
  <c r="F422" i="5"/>
  <c r="H422" i="5" s="1"/>
  <c r="I422" i="5" s="1"/>
  <c r="K421" i="5"/>
  <c r="J421" i="5"/>
  <c r="G421" i="5"/>
  <c r="F421" i="5"/>
  <c r="H421" i="5" s="1"/>
  <c r="K420" i="5"/>
  <c r="J420" i="5"/>
  <c r="G420" i="5"/>
  <c r="F420" i="5"/>
  <c r="H420" i="5" s="1"/>
  <c r="I420" i="5" s="1"/>
  <c r="K419" i="5"/>
  <c r="J419" i="5"/>
  <c r="G419" i="5"/>
  <c r="F419" i="5"/>
  <c r="H419" i="5" s="1"/>
  <c r="K418" i="5"/>
  <c r="J418" i="5"/>
  <c r="G418" i="5"/>
  <c r="F418" i="5"/>
  <c r="H418" i="5" s="1"/>
  <c r="I418" i="5" s="1"/>
  <c r="K417" i="5"/>
  <c r="J417" i="5"/>
  <c r="G417" i="5"/>
  <c r="F417" i="5"/>
  <c r="H417" i="5" s="1"/>
  <c r="K416" i="5"/>
  <c r="J416" i="5"/>
  <c r="G416" i="5"/>
  <c r="F416" i="5"/>
  <c r="H416" i="5" s="1"/>
  <c r="I416" i="5" s="1"/>
  <c r="K415" i="5"/>
  <c r="J415" i="5"/>
  <c r="G415" i="5"/>
  <c r="F415" i="5"/>
  <c r="H415" i="5" s="1"/>
  <c r="K414" i="5"/>
  <c r="J414" i="5"/>
  <c r="G414" i="5"/>
  <c r="F414" i="5"/>
  <c r="H414" i="5" s="1"/>
  <c r="I414" i="5" s="1"/>
  <c r="K413" i="5"/>
  <c r="J413" i="5"/>
  <c r="G413" i="5"/>
  <c r="F413" i="5"/>
  <c r="H413" i="5" s="1"/>
  <c r="K412" i="5"/>
  <c r="J412" i="5"/>
  <c r="G412" i="5"/>
  <c r="F412" i="5"/>
  <c r="H412" i="5" s="1"/>
  <c r="I412" i="5" s="1"/>
  <c r="K411" i="5"/>
  <c r="J411" i="5"/>
  <c r="G411" i="5"/>
  <c r="F411" i="5"/>
  <c r="H411" i="5" s="1"/>
  <c r="K410" i="5"/>
  <c r="J410" i="5"/>
  <c r="G410" i="5"/>
  <c r="F410" i="5"/>
  <c r="H410" i="5" s="1"/>
  <c r="I410" i="5" s="1"/>
  <c r="K409" i="5"/>
  <c r="J409" i="5"/>
  <c r="G409" i="5"/>
  <c r="F409" i="5"/>
  <c r="H409" i="5" s="1"/>
  <c r="K408" i="5"/>
  <c r="J408" i="5"/>
  <c r="G408" i="5"/>
  <c r="F408" i="5"/>
  <c r="H408" i="5" s="1"/>
  <c r="I408" i="5" s="1"/>
  <c r="K407" i="5"/>
  <c r="J407" i="5"/>
  <c r="G407" i="5"/>
  <c r="F407" i="5"/>
  <c r="H407" i="5" s="1"/>
  <c r="K406" i="5"/>
  <c r="J406" i="5"/>
  <c r="G406" i="5"/>
  <c r="F406" i="5"/>
  <c r="H406" i="5" s="1"/>
  <c r="I406" i="5" s="1"/>
  <c r="K405" i="5"/>
  <c r="J405" i="5"/>
  <c r="G405" i="5"/>
  <c r="F405" i="5"/>
  <c r="H405" i="5" s="1"/>
  <c r="K404" i="5"/>
  <c r="J404" i="5"/>
  <c r="G404" i="5"/>
  <c r="F404" i="5"/>
  <c r="H404" i="5" s="1"/>
  <c r="I404" i="5" s="1"/>
  <c r="K403" i="5"/>
  <c r="J403" i="5"/>
  <c r="G403" i="5"/>
  <c r="F403" i="5"/>
  <c r="H403" i="5" s="1"/>
  <c r="K402" i="5"/>
  <c r="J402" i="5"/>
  <c r="G402" i="5"/>
  <c r="F402" i="5"/>
  <c r="H402" i="5" s="1"/>
  <c r="I402" i="5" s="1"/>
  <c r="K401" i="5"/>
  <c r="J401" i="5"/>
  <c r="G401" i="5"/>
  <c r="F401" i="5"/>
  <c r="H401" i="5" s="1"/>
  <c r="K400" i="5"/>
  <c r="J400" i="5"/>
  <c r="G400" i="5"/>
  <c r="F400" i="5"/>
  <c r="H400" i="5" s="1"/>
  <c r="I400" i="5" s="1"/>
  <c r="K399" i="5"/>
  <c r="J399" i="5"/>
  <c r="G399" i="5"/>
  <c r="F399" i="5"/>
  <c r="H399" i="5" s="1"/>
  <c r="K398" i="5"/>
  <c r="J398" i="5"/>
  <c r="G398" i="5"/>
  <c r="F398" i="5"/>
  <c r="H398" i="5" s="1"/>
  <c r="I398" i="5" s="1"/>
  <c r="K397" i="5"/>
  <c r="J397" i="5"/>
  <c r="G397" i="5"/>
  <c r="F397" i="5"/>
  <c r="H397" i="5" s="1"/>
  <c r="K396" i="5"/>
  <c r="J396" i="5"/>
  <c r="G396" i="5"/>
  <c r="F396" i="5"/>
  <c r="H396" i="5" s="1"/>
  <c r="I396" i="5" s="1"/>
  <c r="K395" i="5"/>
  <c r="J395" i="5"/>
  <c r="G395" i="5"/>
  <c r="F395" i="5"/>
  <c r="H395" i="5" s="1"/>
  <c r="K394" i="5"/>
  <c r="J394" i="5"/>
  <c r="G394" i="5"/>
  <c r="F394" i="5"/>
  <c r="H394" i="5" s="1"/>
  <c r="I394" i="5" s="1"/>
  <c r="K393" i="5"/>
  <c r="J393" i="5"/>
  <c r="G393" i="5"/>
  <c r="F393" i="5"/>
  <c r="H393" i="5" s="1"/>
  <c r="K392" i="5"/>
  <c r="J392" i="5"/>
  <c r="G392" i="5"/>
  <c r="F392" i="5"/>
  <c r="H392" i="5" s="1"/>
  <c r="I392" i="5" s="1"/>
  <c r="K391" i="5"/>
  <c r="J391" i="5"/>
  <c r="G391" i="5"/>
  <c r="F391" i="5"/>
  <c r="H391" i="5" s="1"/>
  <c r="K390" i="5"/>
  <c r="J390" i="5"/>
  <c r="G390" i="5"/>
  <c r="F390" i="5"/>
  <c r="H390" i="5" s="1"/>
  <c r="I390" i="5" s="1"/>
  <c r="K389" i="5"/>
  <c r="J389" i="5"/>
  <c r="G389" i="5"/>
  <c r="F389" i="5"/>
  <c r="H389" i="5" s="1"/>
  <c r="K388" i="5"/>
  <c r="J388" i="5"/>
  <c r="G388" i="5"/>
  <c r="F388" i="5"/>
  <c r="H388" i="5" s="1"/>
  <c r="I388" i="5" s="1"/>
  <c r="K387" i="5"/>
  <c r="J387" i="5"/>
  <c r="G387" i="5"/>
  <c r="F387" i="5"/>
  <c r="H387" i="5" s="1"/>
  <c r="K386" i="5"/>
  <c r="J386" i="5"/>
  <c r="G386" i="5"/>
  <c r="F386" i="5"/>
  <c r="H386" i="5" s="1"/>
  <c r="I386" i="5" s="1"/>
  <c r="K385" i="5"/>
  <c r="J385" i="5"/>
  <c r="G385" i="5"/>
  <c r="F385" i="5"/>
  <c r="H385" i="5" s="1"/>
  <c r="K384" i="5"/>
  <c r="J384" i="5"/>
  <c r="G384" i="5"/>
  <c r="F384" i="5"/>
  <c r="H384" i="5" s="1"/>
  <c r="I384" i="5" s="1"/>
  <c r="K383" i="5"/>
  <c r="J383" i="5"/>
  <c r="G383" i="5"/>
  <c r="F383" i="5"/>
  <c r="H383" i="5" s="1"/>
  <c r="K382" i="5"/>
  <c r="J382" i="5"/>
  <c r="G382" i="5"/>
  <c r="F382" i="5"/>
  <c r="H382" i="5" s="1"/>
  <c r="I382" i="5" s="1"/>
  <c r="K381" i="5"/>
  <c r="J381" i="5"/>
  <c r="G381" i="5"/>
  <c r="F381" i="5"/>
  <c r="H381" i="5" s="1"/>
  <c r="K380" i="5"/>
  <c r="J380" i="5"/>
  <c r="G380" i="5"/>
  <c r="F380" i="5"/>
  <c r="H380" i="5" s="1"/>
  <c r="I380" i="5" s="1"/>
  <c r="K379" i="5"/>
  <c r="J379" i="5"/>
  <c r="G379" i="5"/>
  <c r="F379" i="5"/>
  <c r="H379" i="5" s="1"/>
  <c r="K378" i="5"/>
  <c r="J378" i="5"/>
  <c r="G378" i="5"/>
  <c r="F378" i="5"/>
  <c r="H378" i="5" s="1"/>
  <c r="I378" i="5" s="1"/>
  <c r="K377" i="5"/>
  <c r="J377" i="5"/>
  <c r="G377" i="5"/>
  <c r="F377" i="5"/>
  <c r="H377" i="5" s="1"/>
  <c r="K376" i="5"/>
  <c r="J376" i="5"/>
  <c r="G376" i="5"/>
  <c r="F376" i="5"/>
  <c r="H376" i="5" s="1"/>
  <c r="I376" i="5" s="1"/>
  <c r="K375" i="5"/>
  <c r="J375" i="5"/>
  <c r="G375" i="5"/>
  <c r="F375" i="5"/>
  <c r="H375" i="5" s="1"/>
  <c r="K374" i="5"/>
  <c r="J374" i="5"/>
  <c r="G374" i="5"/>
  <c r="F374" i="5"/>
  <c r="H374" i="5" s="1"/>
  <c r="I374" i="5" s="1"/>
  <c r="K373" i="5"/>
  <c r="J373" i="5"/>
  <c r="G373" i="5"/>
  <c r="F373" i="5"/>
  <c r="H373" i="5" s="1"/>
  <c r="K372" i="5"/>
  <c r="J372" i="5"/>
  <c r="G372" i="5"/>
  <c r="F372" i="5"/>
  <c r="H372" i="5" s="1"/>
  <c r="I372" i="5" s="1"/>
  <c r="K371" i="5"/>
  <c r="J371" i="5"/>
  <c r="G371" i="5"/>
  <c r="F371" i="5"/>
  <c r="H371" i="5" s="1"/>
  <c r="K370" i="5"/>
  <c r="J370" i="5"/>
  <c r="G370" i="5"/>
  <c r="F370" i="5"/>
  <c r="H370" i="5" s="1"/>
  <c r="I370" i="5" s="1"/>
  <c r="K369" i="5"/>
  <c r="J369" i="5"/>
  <c r="G369" i="5"/>
  <c r="F369" i="5"/>
  <c r="H369" i="5" s="1"/>
  <c r="K368" i="5"/>
  <c r="J368" i="5"/>
  <c r="G368" i="5"/>
  <c r="F368" i="5"/>
  <c r="H368" i="5" s="1"/>
  <c r="I368" i="5" s="1"/>
  <c r="K367" i="5"/>
  <c r="J367" i="5"/>
  <c r="G367" i="5"/>
  <c r="F367" i="5"/>
  <c r="H367" i="5" s="1"/>
  <c r="K366" i="5"/>
  <c r="J366" i="5"/>
  <c r="G366" i="5"/>
  <c r="F366" i="5"/>
  <c r="H366" i="5" s="1"/>
  <c r="I366" i="5" s="1"/>
  <c r="K365" i="5"/>
  <c r="J365" i="5"/>
  <c r="G365" i="5"/>
  <c r="F365" i="5"/>
  <c r="H365" i="5" s="1"/>
  <c r="K364" i="5"/>
  <c r="J364" i="5"/>
  <c r="G364" i="5"/>
  <c r="F364" i="5"/>
  <c r="H364" i="5" s="1"/>
  <c r="I364" i="5" s="1"/>
  <c r="K363" i="5"/>
  <c r="J363" i="5"/>
  <c r="G363" i="5"/>
  <c r="F363" i="5"/>
  <c r="H363" i="5" s="1"/>
  <c r="K362" i="5"/>
  <c r="J362" i="5"/>
  <c r="G362" i="5"/>
  <c r="F362" i="5"/>
  <c r="H362" i="5" s="1"/>
  <c r="I362" i="5" s="1"/>
  <c r="K361" i="5"/>
  <c r="J361" i="5"/>
  <c r="G361" i="5"/>
  <c r="F361" i="5"/>
  <c r="H361" i="5" s="1"/>
  <c r="K360" i="5"/>
  <c r="J360" i="5"/>
  <c r="G360" i="5"/>
  <c r="F360" i="5"/>
  <c r="H360" i="5" s="1"/>
  <c r="I360" i="5" s="1"/>
  <c r="K359" i="5"/>
  <c r="J359" i="5"/>
  <c r="G359" i="5"/>
  <c r="F359" i="5"/>
  <c r="H359" i="5" s="1"/>
  <c r="K358" i="5"/>
  <c r="J358" i="5"/>
  <c r="G358" i="5"/>
  <c r="F358" i="5"/>
  <c r="H358" i="5" s="1"/>
  <c r="I358" i="5" s="1"/>
  <c r="K357" i="5"/>
  <c r="J357" i="5"/>
  <c r="G357" i="5"/>
  <c r="F357" i="5"/>
  <c r="H357" i="5" s="1"/>
  <c r="K356" i="5"/>
  <c r="J356" i="5"/>
  <c r="G356" i="5"/>
  <c r="F356" i="5"/>
  <c r="H356" i="5" s="1"/>
  <c r="I356" i="5" s="1"/>
  <c r="K355" i="5"/>
  <c r="J355" i="5"/>
  <c r="G355" i="5"/>
  <c r="F355" i="5"/>
  <c r="H355" i="5" s="1"/>
  <c r="K354" i="5"/>
  <c r="J354" i="5"/>
  <c r="G354" i="5"/>
  <c r="F354" i="5"/>
  <c r="H354" i="5" s="1"/>
  <c r="I354" i="5" s="1"/>
  <c r="K353" i="5"/>
  <c r="J353" i="5"/>
  <c r="G353" i="5"/>
  <c r="F353" i="5"/>
  <c r="H353" i="5" s="1"/>
  <c r="K352" i="5"/>
  <c r="J352" i="5"/>
  <c r="G352" i="5"/>
  <c r="F352" i="5"/>
  <c r="H352" i="5" s="1"/>
  <c r="I352" i="5" s="1"/>
  <c r="K351" i="5"/>
  <c r="J351" i="5"/>
  <c r="G351" i="5"/>
  <c r="F351" i="5"/>
  <c r="H351" i="5" s="1"/>
  <c r="K350" i="5"/>
  <c r="J350" i="5"/>
  <c r="G350" i="5"/>
  <c r="F350" i="5"/>
  <c r="H350" i="5" s="1"/>
  <c r="I350" i="5" s="1"/>
  <c r="K349" i="5"/>
  <c r="J349" i="5"/>
  <c r="G349" i="5"/>
  <c r="F349" i="5"/>
  <c r="H349" i="5" s="1"/>
  <c r="K348" i="5"/>
  <c r="J348" i="5"/>
  <c r="G348" i="5"/>
  <c r="F348" i="5"/>
  <c r="H348" i="5" s="1"/>
  <c r="I348" i="5" s="1"/>
  <c r="K347" i="5"/>
  <c r="J347" i="5"/>
  <c r="G347" i="5"/>
  <c r="F347" i="5"/>
  <c r="H347" i="5" s="1"/>
  <c r="K346" i="5"/>
  <c r="J346" i="5"/>
  <c r="G346" i="5"/>
  <c r="F346" i="5"/>
  <c r="H346" i="5" s="1"/>
  <c r="I346" i="5" s="1"/>
  <c r="K345" i="5"/>
  <c r="J345" i="5"/>
  <c r="G345" i="5"/>
  <c r="F345" i="5"/>
  <c r="H345" i="5" s="1"/>
  <c r="K344" i="5"/>
  <c r="J344" i="5"/>
  <c r="G344" i="5"/>
  <c r="F344" i="5"/>
  <c r="H344" i="5" s="1"/>
  <c r="I344" i="5" s="1"/>
  <c r="K343" i="5"/>
  <c r="J343" i="5"/>
  <c r="G343" i="5"/>
  <c r="F343" i="5"/>
  <c r="H343" i="5" s="1"/>
  <c r="K342" i="5"/>
  <c r="J342" i="5"/>
  <c r="G342" i="5"/>
  <c r="F342" i="5"/>
  <c r="H342" i="5" s="1"/>
  <c r="I342" i="5" s="1"/>
  <c r="K341" i="5"/>
  <c r="J341" i="5"/>
  <c r="G341" i="5"/>
  <c r="F341" i="5"/>
  <c r="H341" i="5" s="1"/>
  <c r="K340" i="5"/>
  <c r="J340" i="5"/>
  <c r="G340" i="5"/>
  <c r="F340" i="5"/>
  <c r="H340" i="5" s="1"/>
  <c r="I340" i="5" s="1"/>
  <c r="K339" i="5"/>
  <c r="J339" i="5"/>
  <c r="G339" i="5"/>
  <c r="F339" i="5"/>
  <c r="H339" i="5" s="1"/>
  <c r="K338" i="5"/>
  <c r="J338" i="5"/>
  <c r="G338" i="5"/>
  <c r="F338" i="5"/>
  <c r="H338" i="5" s="1"/>
  <c r="I338" i="5" s="1"/>
  <c r="K337" i="5"/>
  <c r="J337" i="5"/>
  <c r="G337" i="5"/>
  <c r="F337" i="5"/>
  <c r="H337" i="5" s="1"/>
  <c r="K336" i="5"/>
  <c r="J336" i="5"/>
  <c r="G336" i="5"/>
  <c r="F336" i="5"/>
  <c r="H336" i="5" s="1"/>
  <c r="I336" i="5" s="1"/>
  <c r="K335" i="5"/>
  <c r="J335" i="5"/>
  <c r="G335" i="5"/>
  <c r="F335" i="5"/>
  <c r="H335" i="5" s="1"/>
  <c r="K334" i="5"/>
  <c r="J334" i="5"/>
  <c r="G334" i="5"/>
  <c r="F334" i="5"/>
  <c r="H334" i="5" s="1"/>
  <c r="I334" i="5" s="1"/>
  <c r="K333" i="5"/>
  <c r="J333" i="5"/>
  <c r="G333" i="5"/>
  <c r="F333" i="5"/>
  <c r="H333" i="5" s="1"/>
  <c r="K332" i="5"/>
  <c r="J332" i="5"/>
  <c r="G332" i="5"/>
  <c r="F332" i="5"/>
  <c r="H332" i="5" s="1"/>
  <c r="I332" i="5" s="1"/>
  <c r="K331" i="5"/>
  <c r="J331" i="5"/>
  <c r="G331" i="5"/>
  <c r="F331" i="5"/>
  <c r="H331" i="5" s="1"/>
  <c r="K330" i="5"/>
  <c r="J330" i="5"/>
  <c r="G330" i="5"/>
  <c r="F330" i="5"/>
  <c r="H330" i="5" s="1"/>
  <c r="I330" i="5" s="1"/>
  <c r="K329" i="5"/>
  <c r="J329" i="5"/>
  <c r="G329" i="5"/>
  <c r="F329" i="5"/>
  <c r="H329" i="5" s="1"/>
  <c r="K328" i="5"/>
  <c r="J328" i="5"/>
  <c r="G328" i="5"/>
  <c r="F328" i="5"/>
  <c r="H328" i="5" s="1"/>
  <c r="I328" i="5" s="1"/>
  <c r="K327" i="5"/>
  <c r="J327" i="5"/>
  <c r="G327" i="5"/>
  <c r="F327" i="5"/>
  <c r="H327" i="5" s="1"/>
  <c r="K326" i="5"/>
  <c r="J326" i="5"/>
  <c r="G326" i="5"/>
  <c r="F326" i="5"/>
  <c r="H326" i="5" s="1"/>
  <c r="I326" i="5" s="1"/>
  <c r="K325" i="5"/>
  <c r="J325" i="5"/>
  <c r="G325" i="5"/>
  <c r="F325" i="5"/>
  <c r="H325" i="5" s="1"/>
  <c r="K324" i="5"/>
  <c r="J324" i="5"/>
  <c r="G324" i="5"/>
  <c r="F324" i="5"/>
  <c r="H324" i="5" s="1"/>
  <c r="I324" i="5" s="1"/>
  <c r="K323" i="5"/>
  <c r="J323" i="5"/>
  <c r="G323" i="5"/>
  <c r="F323" i="5"/>
  <c r="H323" i="5" s="1"/>
  <c r="K322" i="5"/>
  <c r="J322" i="5"/>
  <c r="G322" i="5"/>
  <c r="F322" i="5"/>
  <c r="H322" i="5" s="1"/>
  <c r="I322" i="5" s="1"/>
  <c r="K321" i="5"/>
  <c r="J321" i="5"/>
  <c r="G321" i="5"/>
  <c r="F321" i="5"/>
  <c r="H321" i="5" s="1"/>
  <c r="K320" i="5"/>
  <c r="J320" i="5"/>
  <c r="G320" i="5"/>
  <c r="F320" i="5"/>
  <c r="H320" i="5" s="1"/>
  <c r="I320" i="5" s="1"/>
  <c r="K319" i="5"/>
  <c r="J319" i="5"/>
  <c r="G319" i="5"/>
  <c r="F319" i="5"/>
  <c r="H319" i="5" s="1"/>
  <c r="K318" i="5"/>
  <c r="J318" i="5"/>
  <c r="G318" i="5"/>
  <c r="F318" i="5"/>
  <c r="H318" i="5" s="1"/>
  <c r="I318" i="5" s="1"/>
  <c r="K317" i="5"/>
  <c r="J317" i="5"/>
  <c r="G317" i="5"/>
  <c r="F317" i="5"/>
  <c r="H317" i="5" s="1"/>
  <c r="K316" i="5"/>
  <c r="J316" i="5"/>
  <c r="G316" i="5"/>
  <c r="F316" i="5"/>
  <c r="H316" i="5" s="1"/>
  <c r="I316" i="5" s="1"/>
  <c r="K315" i="5"/>
  <c r="J315" i="5"/>
  <c r="G315" i="5"/>
  <c r="F315" i="5"/>
  <c r="H315" i="5" s="1"/>
  <c r="K314" i="5"/>
  <c r="J314" i="5"/>
  <c r="G314" i="5"/>
  <c r="F314" i="5"/>
  <c r="H314" i="5" s="1"/>
  <c r="I314" i="5" s="1"/>
  <c r="K313" i="5"/>
  <c r="J313" i="5"/>
  <c r="G313" i="5"/>
  <c r="F313" i="5"/>
  <c r="H313" i="5" s="1"/>
  <c r="K312" i="5"/>
  <c r="J312" i="5"/>
  <c r="G312" i="5"/>
  <c r="F312" i="5"/>
  <c r="H312" i="5" s="1"/>
  <c r="I312" i="5" s="1"/>
  <c r="K311" i="5"/>
  <c r="J311" i="5"/>
  <c r="G311" i="5"/>
  <c r="F311" i="5"/>
  <c r="H311" i="5" s="1"/>
  <c r="K310" i="5"/>
  <c r="J310" i="5"/>
  <c r="G310" i="5"/>
  <c r="F310" i="5"/>
  <c r="H310" i="5" s="1"/>
  <c r="I310" i="5" s="1"/>
  <c r="K309" i="5"/>
  <c r="J309" i="5"/>
  <c r="G309" i="5"/>
  <c r="F309" i="5"/>
  <c r="H309" i="5" s="1"/>
  <c r="K308" i="5"/>
  <c r="J308" i="5"/>
  <c r="G308" i="5"/>
  <c r="F308" i="5"/>
  <c r="H308" i="5" s="1"/>
  <c r="I308" i="5" s="1"/>
  <c r="K307" i="5"/>
  <c r="J307" i="5"/>
  <c r="G307" i="5"/>
  <c r="F307" i="5"/>
  <c r="H307" i="5" s="1"/>
  <c r="K306" i="5"/>
  <c r="J306" i="5"/>
  <c r="G306" i="5"/>
  <c r="F306" i="5"/>
  <c r="H306" i="5" s="1"/>
  <c r="I306" i="5" s="1"/>
  <c r="K305" i="5"/>
  <c r="J305" i="5"/>
  <c r="G305" i="5"/>
  <c r="F305" i="5"/>
  <c r="H305" i="5" s="1"/>
  <c r="K304" i="5"/>
  <c r="J304" i="5"/>
  <c r="G304" i="5"/>
  <c r="F304" i="5"/>
  <c r="H304" i="5" s="1"/>
  <c r="I304" i="5" s="1"/>
  <c r="K303" i="5"/>
  <c r="J303" i="5"/>
  <c r="G303" i="5"/>
  <c r="F303" i="5"/>
  <c r="H303" i="5" s="1"/>
  <c r="K302" i="5"/>
  <c r="J302" i="5"/>
  <c r="G302" i="5"/>
  <c r="F302" i="5"/>
  <c r="H302" i="5" s="1"/>
  <c r="I302" i="5" s="1"/>
  <c r="K301" i="5"/>
  <c r="J301" i="5"/>
  <c r="G301" i="5"/>
  <c r="F301" i="5"/>
  <c r="H301" i="5" s="1"/>
  <c r="K300" i="5"/>
  <c r="J300" i="5"/>
  <c r="G300" i="5"/>
  <c r="F300" i="5"/>
  <c r="H300" i="5" s="1"/>
  <c r="I300" i="5" s="1"/>
  <c r="K299" i="5"/>
  <c r="J299" i="5"/>
  <c r="G299" i="5"/>
  <c r="F299" i="5"/>
  <c r="H299" i="5" s="1"/>
  <c r="K298" i="5"/>
  <c r="J298" i="5"/>
  <c r="G298" i="5"/>
  <c r="F298" i="5"/>
  <c r="H298" i="5" s="1"/>
  <c r="I298" i="5" s="1"/>
  <c r="K297" i="5"/>
  <c r="J297" i="5"/>
  <c r="G297" i="5"/>
  <c r="F297" i="5"/>
  <c r="H297" i="5" s="1"/>
  <c r="K296" i="5"/>
  <c r="J296" i="5"/>
  <c r="G296" i="5"/>
  <c r="F296" i="5"/>
  <c r="H296" i="5" s="1"/>
  <c r="I296" i="5" s="1"/>
  <c r="K295" i="5"/>
  <c r="J295" i="5"/>
  <c r="G295" i="5"/>
  <c r="F295" i="5"/>
  <c r="H295" i="5" s="1"/>
  <c r="K294" i="5"/>
  <c r="J294" i="5"/>
  <c r="G294" i="5"/>
  <c r="F294" i="5"/>
  <c r="H294" i="5" s="1"/>
  <c r="I294" i="5" s="1"/>
  <c r="K293" i="5"/>
  <c r="J293" i="5"/>
  <c r="G293" i="5"/>
  <c r="F293" i="5"/>
  <c r="H293" i="5" s="1"/>
  <c r="K292" i="5"/>
  <c r="J292" i="5"/>
  <c r="G292" i="5"/>
  <c r="F292" i="5"/>
  <c r="H292" i="5" s="1"/>
  <c r="I292" i="5" s="1"/>
  <c r="K291" i="5"/>
  <c r="J291" i="5"/>
  <c r="G291" i="5"/>
  <c r="F291" i="5"/>
  <c r="H291" i="5" s="1"/>
  <c r="K290" i="5"/>
  <c r="J290" i="5"/>
  <c r="G290" i="5"/>
  <c r="F290" i="5"/>
  <c r="H290" i="5" s="1"/>
  <c r="I290" i="5" s="1"/>
  <c r="K289" i="5"/>
  <c r="J289" i="5"/>
  <c r="G289" i="5"/>
  <c r="F289" i="5"/>
  <c r="H289" i="5" s="1"/>
  <c r="K288" i="5"/>
  <c r="J288" i="5"/>
  <c r="G288" i="5"/>
  <c r="F288" i="5"/>
  <c r="H288" i="5" s="1"/>
  <c r="I288" i="5" s="1"/>
  <c r="K287" i="5"/>
  <c r="J287" i="5"/>
  <c r="G287" i="5"/>
  <c r="F287" i="5"/>
  <c r="H287" i="5" s="1"/>
  <c r="K286" i="5"/>
  <c r="J286" i="5"/>
  <c r="G286" i="5"/>
  <c r="F286" i="5"/>
  <c r="H286" i="5" s="1"/>
  <c r="I286" i="5" s="1"/>
  <c r="K285" i="5"/>
  <c r="J285" i="5"/>
  <c r="G285" i="5"/>
  <c r="F285" i="5"/>
  <c r="H285" i="5" s="1"/>
  <c r="K284" i="5"/>
  <c r="J284" i="5"/>
  <c r="G284" i="5"/>
  <c r="F284" i="5"/>
  <c r="H284" i="5" s="1"/>
  <c r="I284" i="5" s="1"/>
  <c r="K283" i="5"/>
  <c r="J283" i="5"/>
  <c r="G283" i="5"/>
  <c r="F283" i="5"/>
  <c r="H283" i="5" s="1"/>
  <c r="K282" i="5"/>
  <c r="J282" i="5"/>
  <c r="G282" i="5"/>
  <c r="F282" i="5"/>
  <c r="H282" i="5" s="1"/>
  <c r="I282" i="5" s="1"/>
  <c r="K281" i="5"/>
  <c r="J281" i="5"/>
  <c r="G281" i="5"/>
  <c r="F281" i="5"/>
  <c r="H281" i="5" s="1"/>
  <c r="K280" i="5"/>
  <c r="J280" i="5"/>
  <c r="G280" i="5"/>
  <c r="F280" i="5"/>
  <c r="H280" i="5" s="1"/>
  <c r="I280" i="5" s="1"/>
  <c r="K279" i="5"/>
  <c r="J279" i="5"/>
  <c r="G279" i="5"/>
  <c r="F279" i="5"/>
  <c r="H279" i="5" s="1"/>
  <c r="K278" i="5"/>
  <c r="J278" i="5"/>
  <c r="G278" i="5"/>
  <c r="F278" i="5"/>
  <c r="H278" i="5" s="1"/>
  <c r="I278" i="5" s="1"/>
  <c r="K277" i="5"/>
  <c r="J277" i="5"/>
  <c r="G277" i="5"/>
  <c r="F277" i="5"/>
  <c r="H277" i="5" s="1"/>
  <c r="K276" i="5"/>
  <c r="J276" i="5"/>
  <c r="G276" i="5"/>
  <c r="F276" i="5"/>
  <c r="H276" i="5" s="1"/>
  <c r="I276" i="5" s="1"/>
  <c r="K275" i="5"/>
  <c r="J275" i="5"/>
  <c r="G275" i="5"/>
  <c r="F275" i="5"/>
  <c r="H275" i="5" s="1"/>
  <c r="K274" i="5"/>
  <c r="J274" i="5"/>
  <c r="G274" i="5"/>
  <c r="F274" i="5"/>
  <c r="H274" i="5" s="1"/>
  <c r="I274" i="5" s="1"/>
  <c r="K273" i="5"/>
  <c r="J273" i="5"/>
  <c r="G273" i="5"/>
  <c r="F273" i="5"/>
  <c r="H273" i="5" s="1"/>
  <c r="K272" i="5"/>
  <c r="J272" i="5"/>
  <c r="G272" i="5"/>
  <c r="F272" i="5"/>
  <c r="H272" i="5" s="1"/>
  <c r="I272" i="5" s="1"/>
  <c r="K271" i="5"/>
  <c r="J271" i="5"/>
  <c r="G271" i="5"/>
  <c r="F271" i="5"/>
  <c r="H271" i="5" s="1"/>
  <c r="K270" i="5"/>
  <c r="J270" i="5"/>
  <c r="G270" i="5"/>
  <c r="F270" i="5"/>
  <c r="H270" i="5" s="1"/>
  <c r="I270" i="5" s="1"/>
  <c r="K269" i="5"/>
  <c r="J269" i="5"/>
  <c r="G269" i="5"/>
  <c r="F269" i="5"/>
  <c r="H269" i="5" s="1"/>
  <c r="K268" i="5"/>
  <c r="J268" i="5"/>
  <c r="G268" i="5"/>
  <c r="F268" i="5"/>
  <c r="H268" i="5" s="1"/>
  <c r="I268" i="5" s="1"/>
  <c r="K267" i="5"/>
  <c r="J267" i="5"/>
  <c r="G267" i="5"/>
  <c r="F267" i="5"/>
  <c r="H267" i="5" s="1"/>
  <c r="K266" i="5"/>
  <c r="J266" i="5"/>
  <c r="G266" i="5"/>
  <c r="F266" i="5"/>
  <c r="H266" i="5" s="1"/>
  <c r="I266" i="5" s="1"/>
  <c r="K265" i="5"/>
  <c r="J265" i="5"/>
  <c r="G265" i="5"/>
  <c r="F265" i="5"/>
  <c r="H265" i="5" s="1"/>
  <c r="K264" i="5"/>
  <c r="J264" i="5"/>
  <c r="G264" i="5"/>
  <c r="F264" i="5"/>
  <c r="H264" i="5" s="1"/>
  <c r="I264" i="5" s="1"/>
  <c r="K263" i="5"/>
  <c r="J263" i="5"/>
  <c r="G263" i="5"/>
  <c r="F263" i="5"/>
  <c r="H263" i="5" s="1"/>
  <c r="K262" i="5"/>
  <c r="J262" i="5"/>
  <c r="G262" i="5"/>
  <c r="F262" i="5"/>
  <c r="H262" i="5" s="1"/>
  <c r="I262" i="5" s="1"/>
  <c r="K261" i="5"/>
  <c r="J261" i="5"/>
  <c r="F261" i="5" s="1"/>
  <c r="H261" i="5" s="1"/>
  <c r="G261" i="5"/>
  <c r="K260" i="5"/>
  <c r="J260" i="5"/>
  <c r="G260" i="5"/>
  <c r="F260" i="5"/>
  <c r="H260" i="5" s="1"/>
  <c r="I260" i="5" s="1"/>
  <c r="K259" i="5"/>
  <c r="J259" i="5"/>
  <c r="G259" i="5"/>
  <c r="F259" i="5"/>
  <c r="H259" i="5" s="1"/>
  <c r="K258" i="5"/>
  <c r="J258" i="5"/>
  <c r="G258" i="5"/>
  <c r="F258" i="5"/>
  <c r="H258" i="5" s="1"/>
  <c r="I258" i="5" s="1"/>
  <c r="K257" i="5"/>
  <c r="J257" i="5"/>
  <c r="F257" i="5" s="1"/>
  <c r="H257" i="5" s="1"/>
  <c r="G257" i="5"/>
  <c r="K256" i="5"/>
  <c r="J256" i="5"/>
  <c r="G256" i="5"/>
  <c r="F256" i="5"/>
  <c r="H256" i="5" s="1"/>
  <c r="I256" i="5" s="1"/>
  <c r="K255" i="5"/>
  <c r="J255" i="5"/>
  <c r="G255" i="5"/>
  <c r="F255" i="5"/>
  <c r="H255" i="5" s="1"/>
  <c r="K254" i="5"/>
  <c r="J254" i="5"/>
  <c r="G254" i="5"/>
  <c r="F254" i="5"/>
  <c r="H254" i="5" s="1"/>
  <c r="I254" i="5" s="1"/>
  <c r="K253" i="5"/>
  <c r="J253" i="5"/>
  <c r="G253" i="5"/>
  <c r="F253" i="5"/>
  <c r="H253" i="5" s="1"/>
  <c r="K248" i="5"/>
  <c r="J248" i="5"/>
  <c r="G248" i="5"/>
  <c r="F248" i="5"/>
  <c r="H248" i="5" s="1"/>
  <c r="I248" i="5" s="1"/>
  <c r="K247" i="5"/>
  <c r="J247" i="5"/>
  <c r="F247" i="5" s="1"/>
  <c r="H247" i="5" s="1"/>
  <c r="G247" i="5"/>
  <c r="K246" i="5"/>
  <c r="J246" i="5"/>
  <c r="G246" i="5"/>
  <c r="F246" i="5"/>
  <c r="H246" i="5" s="1"/>
  <c r="I246" i="5" s="1"/>
  <c r="K245" i="5"/>
  <c r="J245" i="5"/>
  <c r="F245" i="5" s="1"/>
  <c r="H245" i="5" s="1"/>
  <c r="G245" i="5"/>
  <c r="K244" i="5"/>
  <c r="J244" i="5"/>
  <c r="G244" i="5"/>
  <c r="F244" i="5"/>
  <c r="H244" i="5" s="1"/>
  <c r="I244" i="5" s="1"/>
  <c r="K243" i="5"/>
  <c r="J243" i="5"/>
  <c r="G243" i="5"/>
  <c r="F243" i="5"/>
  <c r="H243" i="5" s="1"/>
  <c r="K242" i="5"/>
  <c r="J242" i="5"/>
  <c r="G242" i="5"/>
  <c r="F242" i="5"/>
  <c r="H242" i="5" s="1"/>
  <c r="K241" i="5"/>
  <c r="J241" i="5"/>
  <c r="F241" i="5" s="1"/>
  <c r="H241" i="5" s="1"/>
  <c r="G241" i="5"/>
  <c r="K240" i="5"/>
  <c r="J240" i="5"/>
  <c r="G240" i="5"/>
  <c r="H240" i="5"/>
  <c r="K239" i="5"/>
  <c r="J239" i="5"/>
  <c r="G239" i="5"/>
  <c r="H239" i="5"/>
  <c r="K238" i="5"/>
  <c r="J238" i="5"/>
  <c r="G238" i="5"/>
  <c r="H238" i="5"/>
  <c r="I238" i="5" s="1"/>
  <c r="K237" i="5"/>
  <c r="J237" i="5"/>
  <c r="H237" i="5" s="1"/>
  <c r="G237" i="5"/>
  <c r="K236" i="5"/>
  <c r="J236" i="5"/>
  <c r="G236" i="5"/>
  <c r="H236" i="5"/>
  <c r="K235" i="5"/>
  <c r="J235" i="5"/>
  <c r="G235" i="5"/>
  <c r="H235" i="5"/>
  <c r="K234" i="5"/>
  <c r="J234" i="5"/>
  <c r="G234" i="5"/>
  <c r="H234" i="5"/>
  <c r="I234" i="5" s="1"/>
  <c r="K233" i="5"/>
  <c r="J233" i="5"/>
  <c r="H233" i="5" s="1"/>
  <c r="G233" i="5"/>
  <c r="K232" i="5"/>
  <c r="J232" i="5"/>
  <c r="H232" i="5" s="1"/>
  <c r="G232" i="5"/>
  <c r="K231" i="5"/>
  <c r="J231" i="5"/>
  <c r="G231" i="5"/>
  <c r="H231" i="5"/>
  <c r="K230" i="5"/>
  <c r="J230" i="5"/>
  <c r="H230" i="5" s="1"/>
  <c r="G230" i="5"/>
  <c r="D36" i="11" s="1"/>
  <c r="K229" i="5"/>
  <c r="J229" i="5"/>
  <c r="G229" i="5"/>
  <c r="H229" i="5"/>
  <c r="K228" i="5"/>
  <c r="J228" i="5"/>
  <c r="G228" i="5"/>
  <c r="H228" i="5"/>
  <c r="I228" i="5" s="1"/>
  <c r="K227" i="5"/>
  <c r="J227" i="5"/>
  <c r="G227" i="5"/>
  <c r="H227" i="5"/>
  <c r="K226" i="5"/>
  <c r="J226" i="5"/>
  <c r="G226" i="5"/>
  <c r="H226" i="5"/>
  <c r="I226" i="5" s="1"/>
  <c r="K225" i="5"/>
  <c r="J225" i="5"/>
  <c r="H225" i="5" s="1"/>
  <c r="G225" i="5"/>
  <c r="D32" i="11" s="1"/>
  <c r="K224" i="5"/>
  <c r="J224" i="5"/>
  <c r="G224" i="5"/>
  <c r="H224" i="5"/>
  <c r="K223" i="5"/>
  <c r="J223" i="5"/>
  <c r="H223" i="5" s="1"/>
  <c r="G223" i="5"/>
  <c r="K222" i="5"/>
  <c r="J222" i="5"/>
  <c r="G222" i="5"/>
  <c r="H222" i="5"/>
  <c r="I222" i="5" s="1"/>
  <c r="K221" i="5"/>
  <c r="J221" i="5"/>
  <c r="H221" i="5" s="1"/>
  <c r="G221" i="5"/>
  <c r="K220" i="5"/>
  <c r="J220" i="5"/>
  <c r="G220" i="5"/>
  <c r="H220" i="5"/>
  <c r="K219" i="5"/>
  <c r="J219" i="5"/>
  <c r="G219" i="5"/>
  <c r="H219" i="5"/>
  <c r="K218" i="5"/>
  <c r="J218" i="5"/>
  <c r="H218" i="5" s="1"/>
  <c r="G218" i="5"/>
  <c r="K217" i="5"/>
  <c r="J217" i="5"/>
  <c r="H217" i="5" s="1"/>
  <c r="G217" i="5"/>
  <c r="K216" i="5"/>
  <c r="J216" i="5"/>
  <c r="G216" i="5"/>
  <c r="H216" i="5"/>
  <c r="I216" i="5" s="1"/>
  <c r="K215" i="5"/>
  <c r="J215" i="5"/>
  <c r="G215" i="5"/>
  <c r="H215" i="5"/>
  <c r="K214" i="5"/>
  <c r="J214" i="5"/>
  <c r="G214" i="5"/>
  <c r="H214" i="5"/>
  <c r="K213" i="5"/>
  <c r="J213" i="5"/>
  <c r="H213" i="5" s="1"/>
  <c r="G213" i="5"/>
  <c r="K212" i="5"/>
  <c r="J212" i="5"/>
  <c r="G212" i="5"/>
  <c r="H212" i="5"/>
  <c r="I212" i="5" s="1"/>
  <c r="K211" i="5"/>
  <c r="J211" i="5"/>
  <c r="G211" i="5"/>
  <c r="H211" i="5"/>
  <c r="K210" i="5"/>
  <c r="J210" i="5"/>
  <c r="G210" i="5"/>
  <c r="H210" i="5"/>
  <c r="I210" i="5" s="1"/>
  <c r="K209" i="5"/>
  <c r="J209" i="5"/>
  <c r="H209" i="5" s="1"/>
  <c r="G209" i="5"/>
  <c r="K208" i="5"/>
  <c r="J208" i="5"/>
  <c r="G208" i="5"/>
  <c r="H208" i="5"/>
  <c r="I208" i="5" s="1"/>
  <c r="K207" i="5"/>
  <c r="J207" i="5"/>
  <c r="G207" i="5"/>
  <c r="H207" i="5"/>
  <c r="K206" i="5"/>
  <c r="J206" i="5"/>
  <c r="G206" i="5"/>
  <c r="H206" i="5"/>
  <c r="I206" i="5" s="1"/>
  <c r="K205" i="5"/>
  <c r="J205" i="5"/>
  <c r="G205" i="5"/>
  <c r="H205" i="5"/>
  <c r="K204" i="5"/>
  <c r="J204" i="5"/>
  <c r="G204" i="5"/>
  <c r="H204" i="5"/>
  <c r="K203" i="5"/>
  <c r="J203" i="5"/>
  <c r="G203" i="5"/>
  <c r="H203" i="5"/>
  <c r="K202" i="5"/>
  <c r="J202" i="5"/>
  <c r="G202" i="5"/>
  <c r="H202" i="5"/>
  <c r="K201" i="5"/>
  <c r="J201" i="5"/>
  <c r="H201" i="5" s="1"/>
  <c r="G201" i="5"/>
  <c r="K200" i="5"/>
  <c r="J200" i="5"/>
  <c r="G200" i="5"/>
  <c r="H200" i="5"/>
  <c r="I200" i="5" s="1"/>
  <c r="K199" i="5"/>
  <c r="J199" i="5"/>
  <c r="H199" i="5" s="1"/>
  <c r="G199" i="5"/>
  <c r="K198" i="5"/>
  <c r="J198" i="5"/>
  <c r="G198" i="5"/>
  <c r="H198" i="5"/>
  <c r="I198" i="5" s="1"/>
  <c r="K197" i="5"/>
  <c r="J197" i="5"/>
  <c r="H197" i="5" s="1"/>
  <c r="G197" i="5"/>
  <c r="K196" i="5"/>
  <c r="J196" i="5"/>
  <c r="G196" i="5"/>
  <c r="H196" i="5"/>
  <c r="I196" i="5" s="1"/>
  <c r="K195" i="5"/>
  <c r="J195" i="5"/>
  <c r="G195" i="5"/>
  <c r="H195" i="5"/>
  <c r="K194" i="5"/>
  <c r="J194" i="5"/>
  <c r="G194" i="5"/>
  <c r="H194" i="5"/>
  <c r="I194" i="5" s="1"/>
  <c r="K193" i="5"/>
  <c r="J193" i="5"/>
  <c r="H193" i="5" s="1"/>
  <c r="G193" i="5"/>
  <c r="K192" i="5"/>
  <c r="J192" i="5"/>
  <c r="G192" i="5"/>
  <c r="H192" i="5"/>
  <c r="I192" i="5" s="1"/>
  <c r="K191" i="5"/>
  <c r="J191" i="5"/>
  <c r="G191" i="5"/>
  <c r="H191" i="5"/>
  <c r="K190" i="5"/>
  <c r="J190" i="5"/>
  <c r="G190" i="5"/>
  <c r="H190" i="5"/>
  <c r="I190" i="5" s="1"/>
  <c r="K189" i="5"/>
  <c r="J189" i="5"/>
  <c r="G189" i="5"/>
  <c r="H189" i="5"/>
  <c r="K188" i="5"/>
  <c r="J188" i="5"/>
  <c r="G188" i="5"/>
  <c r="H188" i="5"/>
  <c r="K187" i="5"/>
  <c r="J187" i="5"/>
  <c r="G187" i="5"/>
  <c r="H187" i="5"/>
  <c r="I187" i="5" s="1"/>
  <c r="K186" i="5"/>
  <c r="J186" i="5"/>
  <c r="G186" i="5"/>
  <c r="H186" i="5"/>
  <c r="K185" i="5"/>
  <c r="J185" i="5"/>
  <c r="G185" i="5"/>
  <c r="H185" i="5"/>
  <c r="K184" i="5"/>
  <c r="J184" i="5"/>
  <c r="G184" i="5"/>
  <c r="H184" i="5"/>
  <c r="I184" i="5" s="1"/>
  <c r="K183" i="5"/>
  <c r="J183" i="5"/>
  <c r="G183" i="5"/>
  <c r="H183" i="5"/>
  <c r="K182" i="5"/>
  <c r="J182" i="5"/>
  <c r="G182" i="5"/>
  <c r="H182" i="5"/>
  <c r="K181" i="5"/>
  <c r="J181" i="5"/>
  <c r="H181" i="5"/>
  <c r="I181" i="5" s="1"/>
  <c r="K180" i="5"/>
  <c r="J180" i="5"/>
  <c r="H180" i="5"/>
  <c r="I180" i="5" s="1"/>
  <c r="K179" i="5"/>
  <c r="J179" i="5"/>
  <c r="H179" i="5"/>
  <c r="I179" i="5" s="1"/>
  <c r="K178" i="5"/>
  <c r="J178" i="5"/>
  <c r="F178" i="5"/>
  <c r="H178" i="5" s="1"/>
  <c r="I178" i="5" s="1"/>
  <c r="K177" i="5"/>
  <c r="J177" i="5"/>
  <c r="G177" i="5"/>
  <c r="K176" i="5"/>
  <c r="J176" i="5"/>
  <c r="G176" i="5"/>
  <c r="K175" i="5"/>
  <c r="J175" i="5"/>
  <c r="G175" i="5"/>
  <c r="K174" i="5"/>
  <c r="J174" i="5"/>
  <c r="G174" i="5"/>
  <c r="K173" i="5"/>
  <c r="J173" i="5"/>
  <c r="G173" i="5"/>
  <c r="D35" i="11" s="1"/>
  <c r="K172" i="5"/>
  <c r="J172" i="5"/>
  <c r="G172" i="5"/>
  <c r="K171" i="5"/>
  <c r="J171" i="5"/>
  <c r="G171" i="5"/>
  <c r="K170" i="5"/>
  <c r="J170" i="5"/>
  <c r="G170" i="5"/>
  <c r="K169" i="5"/>
  <c r="J169" i="5"/>
  <c r="G169" i="5"/>
  <c r="K168" i="5"/>
  <c r="J168" i="5"/>
  <c r="G168" i="5"/>
  <c r="K167" i="5"/>
  <c r="J167" i="5"/>
  <c r="G167" i="5"/>
  <c r="K166" i="5"/>
  <c r="J166" i="5"/>
  <c r="K165" i="5"/>
  <c r="J165" i="5"/>
  <c r="K164" i="5"/>
  <c r="J164" i="5"/>
  <c r="K163" i="5"/>
  <c r="J163" i="5"/>
  <c r="K162" i="5"/>
  <c r="J162" i="5"/>
  <c r="K161" i="5"/>
  <c r="J161" i="5"/>
  <c r="K160" i="5"/>
  <c r="J160" i="5"/>
  <c r="K159" i="5"/>
  <c r="J159" i="5"/>
  <c r="G159" i="5"/>
  <c r="K158" i="5"/>
  <c r="J158" i="5"/>
  <c r="G158" i="5"/>
  <c r="K157" i="5"/>
  <c r="J157" i="5"/>
  <c r="G157" i="5"/>
  <c r="K156" i="5"/>
  <c r="J156" i="5"/>
  <c r="G156" i="5"/>
  <c r="K155" i="5"/>
  <c r="J155" i="5"/>
  <c r="G155" i="5"/>
  <c r="K154" i="5"/>
  <c r="J154" i="5"/>
  <c r="G154" i="5"/>
  <c r="K153" i="5"/>
  <c r="J153" i="5"/>
  <c r="G153" i="5"/>
  <c r="K152" i="5"/>
  <c r="J152" i="5"/>
  <c r="G152" i="5"/>
  <c r="K151" i="5"/>
  <c r="J151" i="5"/>
  <c r="G151" i="5"/>
  <c r="K150" i="5"/>
  <c r="J150" i="5"/>
  <c r="G150" i="5"/>
  <c r="K149" i="5"/>
  <c r="J149" i="5"/>
  <c r="G149" i="5"/>
  <c r="K148" i="5"/>
  <c r="J148" i="5"/>
  <c r="G148" i="5"/>
  <c r="K147" i="5"/>
  <c r="J147" i="5"/>
  <c r="G147" i="5"/>
  <c r="K146" i="5"/>
  <c r="J146" i="5"/>
  <c r="G146" i="5"/>
  <c r="J145" i="5"/>
  <c r="G145" i="5"/>
  <c r="J144" i="5"/>
  <c r="G144" i="5"/>
  <c r="J143" i="5"/>
  <c r="G143" i="5"/>
  <c r="J142" i="5"/>
  <c r="G142" i="5"/>
  <c r="J141" i="5"/>
  <c r="G141" i="5"/>
  <c r="J140" i="5"/>
  <c r="G140" i="5"/>
  <c r="J139" i="5"/>
  <c r="G139" i="5"/>
  <c r="J138" i="5"/>
  <c r="G138" i="5"/>
  <c r="J137" i="5"/>
  <c r="G137" i="5"/>
  <c r="J136" i="5"/>
  <c r="G136" i="5"/>
  <c r="J135" i="5"/>
  <c r="G135" i="5"/>
  <c r="J134" i="5"/>
  <c r="G134" i="5"/>
  <c r="J133" i="5"/>
  <c r="G133" i="5"/>
  <c r="J132" i="5"/>
  <c r="G132" i="5"/>
  <c r="J131" i="5"/>
  <c r="G131" i="5"/>
  <c r="J130" i="5"/>
  <c r="G130" i="5"/>
  <c r="J129" i="5"/>
  <c r="G129" i="5"/>
  <c r="J128" i="5"/>
  <c r="G128" i="5"/>
  <c r="J127" i="5"/>
  <c r="G127" i="5"/>
  <c r="J126" i="5"/>
  <c r="G126" i="5"/>
  <c r="J125" i="5"/>
  <c r="G125" i="5"/>
  <c r="J124" i="5"/>
  <c r="G124" i="5"/>
  <c r="J123" i="5"/>
  <c r="G123" i="5"/>
  <c r="J122" i="5"/>
  <c r="G122" i="5"/>
  <c r="J121" i="5"/>
  <c r="G121" i="5"/>
  <c r="J120" i="5"/>
  <c r="G120" i="5"/>
  <c r="J119" i="5"/>
  <c r="G119" i="5"/>
  <c r="J118" i="5"/>
  <c r="G118" i="5"/>
  <c r="J117" i="5"/>
  <c r="G117" i="5"/>
  <c r="J116" i="5"/>
  <c r="G116" i="5"/>
  <c r="J115" i="5"/>
  <c r="G115" i="5"/>
  <c r="J114" i="5"/>
  <c r="G114" i="5"/>
  <c r="J113" i="5"/>
  <c r="G113" i="5"/>
  <c r="J112" i="5"/>
  <c r="G112" i="5"/>
  <c r="H112" i="5"/>
  <c r="J111" i="5"/>
  <c r="G111" i="5"/>
  <c r="H111" i="5"/>
  <c r="I111" i="5" s="1"/>
  <c r="J110" i="5"/>
  <c r="G110" i="5"/>
  <c r="H110" i="5"/>
  <c r="I110" i="5" s="1"/>
  <c r="J109" i="5"/>
  <c r="G109" i="5"/>
  <c r="H109" i="5"/>
  <c r="I109" i="5" s="1"/>
  <c r="J108" i="5"/>
  <c r="G108" i="5"/>
  <c r="H108" i="5"/>
  <c r="J107" i="5"/>
  <c r="G107" i="5"/>
  <c r="J106" i="5"/>
  <c r="G106" i="5"/>
  <c r="J105" i="5"/>
  <c r="G105" i="5"/>
  <c r="J104" i="5"/>
  <c r="G104" i="5"/>
  <c r="J103" i="5"/>
  <c r="G103" i="5"/>
  <c r="J102" i="5"/>
  <c r="G102" i="5"/>
  <c r="D18" i="11" s="1"/>
  <c r="J101" i="5"/>
  <c r="G101" i="5"/>
  <c r="H101" i="5"/>
  <c r="I101" i="5" s="1"/>
  <c r="J100" i="5"/>
  <c r="G100" i="5"/>
  <c r="H100" i="5"/>
  <c r="J99" i="5"/>
  <c r="G99" i="5"/>
  <c r="H99" i="5"/>
  <c r="I99" i="5" s="1"/>
  <c r="J98" i="5"/>
  <c r="G98" i="5"/>
  <c r="H98" i="5"/>
  <c r="I98" i="5" s="1"/>
  <c r="J97" i="5"/>
  <c r="G97" i="5"/>
  <c r="H97" i="5"/>
  <c r="I97" i="5" s="1"/>
  <c r="J96" i="5"/>
  <c r="G96" i="5"/>
  <c r="H96" i="5"/>
  <c r="J95" i="5"/>
  <c r="G95" i="5"/>
  <c r="J94" i="5"/>
  <c r="G94" i="5"/>
  <c r="J93" i="5"/>
  <c r="G93" i="5"/>
  <c r="J92" i="5"/>
  <c r="G92" i="5"/>
  <c r="J91" i="5"/>
  <c r="G91" i="5"/>
  <c r="J90" i="5"/>
  <c r="G90" i="5"/>
  <c r="J89" i="5"/>
  <c r="G89" i="5"/>
  <c r="J88" i="5"/>
  <c r="G88" i="5"/>
  <c r="J87" i="5"/>
  <c r="G87" i="5"/>
  <c r="J86" i="5"/>
  <c r="G86" i="5"/>
  <c r="J85" i="5"/>
  <c r="G85" i="5"/>
  <c r="H85" i="5"/>
  <c r="I85" i="5" s="1"/>
  <c r="J84" i="5"/>
  <c r="G84" i="5"/>
  <c r="H84" i="5"/>
  <c r="J83" i="5"/>
  <c r="G83" i="5"/>
  <c r="H83" i="5"/>
  <c r="J82" i="5"/>
  <c r="G82" i="5"/>
  <c r="H82" i="5"/>
  <c r="I82" i="5" s="1"/>
  <c r="J81" i="5"/>
  <c r="G81" i="5"/>
  <c r="H81" i="5"/>
  <c r="J80" i="5"/>
  <c r="G80" i="5"/>
  <c r="H80" i="5"/>
  <c r="I80" i="5" s="1"/>
  <c r="J79" i="5"/>
  <c r="G79" i="5"/>
  <c r="H79" i="5"/>
  <c r="J78" i="5"/>
  <c r="G78" i="5"/>
  <c r="H78" i="5"/>
  <c r="I78" i="5" s="1"/>
  <c r="J77" i="5"/>
  <c r="G77" i="5"/>
  <c r="H77" i="5"/>
  <c r="I77" i="5" s="1"/>
  <c r="J76" i="5"/>
  <c r="G76" i="5"/>
  <c r="H76" i="5"/>
  <c r="J75" i="5"/>
  <c r="G75" i="5"/>
  <c r="H75" i="5"/>
  <c r="J74" i="5"/>
  <c r="G74" i="5"/>
  <c r="H74" i="5"/>
  <c r="J73" i="5"/>
  <c r="G73" i="5"/>
  <c r="H73" i="5"/>
  <c r="J72" i="5"/>
  <c r="G72" i="5"/>
  <c r="H72" i="5"/>
  <c r="J71" i="5"/>
  <c r="G71" i="5"/>
  <c r="H71" i="5"/>
  <c r="J70" i="5"/>
  <c r="G70" i="5"/>
  <c r="H70" i="5"/>
  <c r="I70" i="5" s="1"/>
  <c r="J69" i="5"/>
  <c r="G69" i="5"/>
  <c r="H69" i="5"/>
  <c r="I69" i="5" s="1"/>
  <c r="J68" i="5"/>
  <c r="G68" i="5"/>
  <c r="H68" i="5"/>
  <c r="J67" i="5"/>
  <c r="G67" i="5"/>
  <c r="H67" i="5"/>
  <c r="J66" i="5"/>
  <c r="G66" i="5"/>
  <c r="H66" i="5"/>
  <c r="J65" i="5"/>
  <c r="G65" i="5"/>
  <c r="H65" i="5"/>
  <c r="I65" i="5" s="1"/>
  <c r="J64" i="5"/>
  <c r="G64" i="5"/>
  <c r="H64" i="5"/>
  <c r="I64" i="5" s="1"/>
  <c r="J63" i="5"/>
  <c r="G63" i="5"/>
  <c r="H63" i="5"/>
  <c r="I63" i="5" s="1"/>
  <c r="J62" i="5"/>
  <c r="G62" i="5"/>
  <c r="H62" i="5"/>
  <c r="J61" i="5"/>
  <c r="G61" i="5"/>
  <c r="H61" i="5"/>
  <c r="J60" i="5"/>
  <c r="G60" i="5"/>
  <c r="H60" i="5"/>
  <c r="J59" i="5"/>
  <c r="G59" i="5"/>
  <c r="H59" i="5"/>
  <c r="J58" i="5"/>
  <c r="G58" i="5"/>
  <c r="H58" i="5"/>
  <c r="I58" i="5" s="1"/>
  <c r="J57" i="5"/>
  <c r="G57" i="5"/>
  <c r="H57" i="5"/>
  <c r="I57" i="5" s="1"/>
  <c r="J56" i="5"/>
  <c r="G56" i="5"/>
  <c r="H56" i="5"/>
  <c r="J55" i="5"/>
  <c r="G55" i="5"/>
  <c r="H55" i="5"/>
  <c r="J54" i="5"/>
  <c r="G54" i="5"/>
  <c r="H54" i="5"/>
  <c r="I54" i="5" s="1"/>
  <c r="J53" i="5"/>
  <c r="G53" i="5"/>
  <c r="H53" i="5"/>
  <c r="I53" i="5" s="1"/>
  <c r="J52" i="5"/>
  <c r="G52" i="5"/>
  <c r="H52" i="5"/>
  <c r="J51" i="5"/>
  <c r="G51" i="5"/>
  <c r="H51" i="5"/>
  <c r="I51" i="5" s="1"/>
  <c r="J50" i="5"/>
  <c r="G50" i="5"/>
  <c r="H50" i="5"/>
  <c r="I50" i="5" s="1"/>
  <c r="J49" i="5"/>
  <c r="G49" i="5"/>
  <c r="H49" i="5"/>
  <c r="I49" i="5" s="1"/>
  <c r="J48" i="5"/>
  <c r="G48" i="5"/>
  <c r="H48" i="5"/>
  <c r="J47" i="5"/>
  <c r="G47" i="5"/>
  <c r="H47" i="5"/>
  <c r="J46" i="5"/>
  <c r="G46" i="5"/>
  <c r="H46" i="5"/>
  <c r="I46" i="5" s="1"/>
  <c r="J45" i="5"/>
  <c r="G45" i="5"/>
  <c r="H45" i="5"/>
  <c r="J44" i="5"/>
  <c r="G44" i="5"/>
  <c r="H44" i="5"/>
  <c r="J43" i="5"/>
  <c r="G43" i="5"/>
  <c r="H43" i="5"/>
  <c r="J42" i="5"/>
  <c r="G42" i="5"/>
  <c r="H42" i="5"/>
  <c r="J41" i="5"/>
  <c r="G41" i="5"/>
  <c r="H41" i="5"/>
  <c r="I41" i="5" s="1"/>
  <c r="J40" i="5"/>
  <c r="G40" i="5"/>
  <c r="J39" i="5"/>
  <c r="G39" i="5"/>
  <c r="J38" i="5"/>
  <c r="G38" i="5"/>
  <c r="J37" i="5"/>
  <c r="G37" i="5"/>
  <c r="J36" i="5"/>
  <c r="G36" i="5"/>
  <c r="J35" i="5"/>
  <c r="G35" i="5"/>
  <c r="J34" i="5"/>
  <c r="G34" i="5"/>
  <c r="J33" i="5"/>
  <c r="G33" i="5"/>
  <c r="J32" i="5"/>
  <c r="G32" i="5"/>
  <c r="J31" i="5"/>
  <c r="G31" i="5"/>
  <c r="J30" i="5"/>
  <c r="G30" i="5"/>
  <c r="J29" i="5"/>
  <c r="G29" i="5"/>
  <c r="J28" i="5"/>
  <c r="G28" i="5"/>
  <c r="J27" i="5"/>
  <c r="G27" i="5"/>
  <c r="J26" i="5"/>
  <c r="G26" i="5"/>
  <c r="J25" i="5"/>
  <c r="G25" i="5"/>
  <c r="D11" i="11" s="1"/>
  <c r="J24" i="5"/>
  <c r="G24" i="5"/>
  <c r="J23" i="5"/>
  <c r="G23" i="5"/>
  <c r="J22" i="5"/>
  <c r="G22" i="5"/>
  <c r="J21" i="5"/>
  <c r="G21" i="5"/>
  <c r="J20" i="5"/>
  <c r="G20" i="5"/>
  <c r="J19" i="5"/>
  <c r="G19" i="5"/>
  <c r="J18" i="5"/>
  <c r="G18" i="5"/>
  <c r="J17" i="5"/>
  <c r="G17" i="5"/>
  <c r="J16" i="5"/>
  <c r="G16" i="5"/>
  <c r="J15" i="5"/>
  <c r="G15" i="5"/>
  <c r="J14" i="5"/>
  <c r="G14" i="5"/>
  <c r="J13" i="5"/>
  <c r="G13" i="5"/>
  <c r="J12" i="5"/>
  <c r="G12" i="5"/>
  <c r="J11" i="5"/>
  <c r="G11" i="5"/>
  <c r="J10" i="5"/>
  <c r="G10" i="5"/>
  <c r="J9" i="5"/>
  <c r="G9" i="5"/>
  <c r="J8" i="5"/>
  <c r="G8" i="5"/>
  <c r="J7" i="5"/>
  <c r="G7" i="5"/>
  <c r="J6" i="5"/>
  <c r="G6" i="5"/>
  <c r="J5" i="5"/>
  <c r="G5" i="5"/>
  <c r="J4" i="5"/>
  <c r="G4" i="5"/>
  <c r="D7" i="11" s="1"/>
  <c r="J3" i="5"/>
  <c r="G3" i="5"/>
  <c r="H1049" i="4"/>
  <c r="G1049" i="4"/>
  <c r="H1048" i="4"/>
  <c r="G1048" i="4"/>
  <c r="H1047" i="4"/>
  <c r="G1047" i="4"/>
  <c r="H1046" i="4"/>
  <c r="G1046" i="4"/>
  <c r="H1045" i="4"/>
  <c r="G1045" i="4"/>
  <c r="H1044" i="4"/>
  <c r="G1044" i="4"/>
  <c r="H1043" i="4"/>
  <c r="G1043" i="4"/>
  <c r="H1042" i="4"/>
  <c r="G1042" i="4"/>
  <c r="H1041" i="4"/>
  <c r="G1041" i="4"/>
  <c r="H1040" i="4"/>
  <c r="G1040" i="4"/>
  <c r="H1039" i="4"/>
  <c r="G1039" i="4"/>
  <c r="H1038" i="4"/>
  <c r="G1038" i="4"/>
  <c r="H1037" i="4"/>
  <c r="G1037" i="4"/>
  <c r="H1036" i="4"/>
  <c r="G1036" i="4"/>
  <c r="H1035" i="4"/>
  <c r="G1035" i="4"/>
  <c r="H1034" i="4"/>
  <c r="G1034" i="4"/>
  <c r="H1033" i="4"/>
  <c r="G1033" i="4"/>
  <c r="H1032" i="4"/>
  <c r="G1032" i="4"/>
  <c r="H1031" i="4"/>
  <c r="G1031" i="4"/>
  <c r="H1030" i="4"/>
  <c r="G1030" i="4"/>
  <c r="H1029" i="4"/>
  <c r="G1029" i="4"/>
  <c r="H1028" i="4"/>
  <c r="G1028" i="4"/>
  <c r="H1027" i="4"/>
  <c r="G1027" i="4"/>
  <c r="H1026" i="4"/>
  <c r="G1026" i="4"/>
  <c r="H1025" i="4"/>
  <c r="G1025" i="4"/>
  <c r="H1024" i="4"/>
  <c r="G1024" i="4"/>
  <c r="H1023" i="4"/>
  <c r="G1023" i="4"/>
  <c r="H1022" i="4"/>
  <c r="G1022" i="4"/>
  <c r="H1021" i="4"/>
  <c r="G1021" i="4"/>
  <c r="H1020" i="4"/>
  <c r="G1020" i="4"/>
  <c r="H1019" i="4"/>
  <c r="G1019" i="4"/>
  <c r="H1018" i="4"/>
  <c r="G1018" i="4"/>
  <c r="H1017" i="4"/>
  <c r="G1017" i="4"/>
  <c r="H1016" i="4"/>
  <c r="G1016" i="4"/>
  <c r="H1015" i="4"/>
  <c r="G1015" i="4"/>
  <c r="H1014" i="4"/>
  <c r="G1014" i="4"/>
  <c r="H1013" i="4"/>
  <c r="G1013" i="4"/>
  <c r="H1012" i="4"/>
  <c r="G1012" i="4"/>
  <c r="H1011" i="4"/>
  <c r="G1011" i="4"/>
  <c r="H1010" i="4"/>
  <c r="G1010" i="4"/>
  <c r="H1009" i="4"/>
  <c r="G1009" i="4"/>
  <c r="H1008" i="4"/>
  <c r="G1008" i="4"/>
  <c r="H1007" i="4"/>
  <c r="G1007" i="4"/>
  <c r="H1006" i="4"/>
  <c r="G1006" i="4"/>
  <c r="H1005" i="4"/>
  <c r="G1005" i="4"/>
  <c r="H1004" i="4"/>
  <c r="G1004" i="4"/>
  <c r="H1003" i="4"/>
  <c r="G1003" i="4"/>
  <c r="H1002" i="4"/>
  <c r="G1002" i="4"/>
  <c r="H1001" i="4"/>
  <c r="G1001" i="4"/>
  <c r="H1000" i="4"/>
  <c r="G1000" i="4"/>
  <c r="H999" i="4"/>
  <c r="G999" i="4"/>
  <c r="H998" i="4"/>
  <c r="G998" i="4"/>
  <c r="H997" i="4"/>
  <c r="G997" i="4"/>
  <c r="H996" i="4"/>
  <c r="G996" i="4"/>
  <c r="H995" i="4"/>
  <c r="G995" i="4"/>
  <c r="H994" i="4"/>
  <c r="G994" i="4"/>
  <c r="H993" i="4"/>
  <c r="G993" i="4"/>
  <c r="H992" i="4"/>
  <c r="G992" i="4"/>
  <c r="H991" i="4"/>
  <c r="G991" i="4"/>
  <c r="H990" i="4"/>
  <c r="G990" i="4"/>
  <c r="H989" i="4"/>
  <c r="G989" i="4"/>
  <c r="H988" i="4"/>
  <c r="G988" i="4"/>
  <c r="H987" i="4"/>
  <c r="G987" i="4"/>
  <c r="H986" i="4"/>
  <c r="G986" i="4"/>
  <c r="H985" i="4"/>
  <c r="G985" i="4"/>
  <c r="H984" i="4"/>
  <c r="G984" i="4"/>
  <c r="H983" i="4"/>
  <c r="G983" i="4"/>
  <c r="H982" i="4"/>
  <c r="G982" i="4"/>
  <c r="H981" i="4"/>
  <c r="G981" i="4"/>
  <c r="H980" i="4"/>
  <c r="G980" i="4"/>
  <c r="H979" i="4"/>
  <c r="G979" i="4"/>
  <c r="H978" i="4"/>
  <c r="G978" i="4"/>
  <c r="H977" i="4"/>
  <c r="G977" i="4"/>
  <c r="H976" i="4"/>
  <c r="G976" i="4"/>
  <c r="H975" i="4"/>
  <c r="G975" i="4"/>
  <c r="H974" i="4"/>
  <c r="G974" i="4"/>
  <c r="H973" i="4"/>
  <c r="G973" i="4"/>
  <c r="H972" i="4"/>
  <c r="G972" i="4"/>
  <c r="H971" i="4"/>
  <c r="G971" i="4"/>
  <c r="H970" i="4"/>
  <c r="G970" i="4"/>
  <c r="H969" i="4"/>
  <c r="G969" i="4"/>
  <c r="H968" i="4"/>
  <c r="G968" i="4"/>
  <c r="H967" i="4"/>
  <c r="G967" i="4"/>
  <c r="H966" i="4"/>
  <c r="G966" i="4"/>
  <c r="H965" i="4"/>
  <c r="G965" i="4"/>
  <c r="H964" i="4"/>
  <c r="G964" i="4"/>
  <c r="H963" i="4"/>
  <c r="G963" i="4"/>
  <c r="H962" i="4"/>
  <c r="G962" i="4"/>
  <c r="H961" i="4"/>
  <c r="G961" i="4"/>
  <c r="H960" i="4"/>
  <c r="G960" i="4"/>
  <c r="H959" i="4"/>
  <c r="G959" i="4"/>
  <c r="H958" i="4"/>
  <c r="G958" i="4"/>
  <c r="H957" i="4"/>
  <c r="G957" i="4"/>
  <c r="H956" i="4"/>
  <c r="G956" i="4"/>
  <c r="H955" i="4"/>
  <c r="G955" i="4"/>
  <c r="H954" i="4"/>
  <c r="G954" i="4"/>
  <c r="H953" i="4"/>
  <c r="G953" i="4"/>
  <c r="H952" i="4"/>
  <c r="G952" i="4"/>
  <c r="H951" i="4"/>
  <c r="G951" i="4"/>
  <c r="H950" i="4"/>
  <c r="G950" i="4"/>
  <c r="H949" i="4"/>
  <c r="G949" i="4"/>
  <c r="H948" i="4"/>
  <c r="G948" i="4"/>
  <c r="H947" i="4"/>
  <c r="G947" i="4"/>
  <c r="H946" i="4"/>
  <c r="G946" i="4"/>
  <c r="H945" i="4"/>
  <c r="G945" i="4"/>
  <c r="H944" i="4"/>
  <c r="G944" i="4"/>
  <c r="H943" i="4"/>
  <c r="G943" i="4"/>
  <c r="H942" i="4"/>
  <c r="G942" i="4"/>
  <c r="H941" i="4"/>
  <c r="G941" i="4"/>
  <c r="H940" i="4"/>
  <c r="G940" i="4"/>
  <c r="H939" i="4"/>
  <c r="G939" i="4"/>
  <c r="H938" i="4"/>
  <c r="G938" i="4"/>
  <c r="H937" i="4"/>
  <c r="G937" i="4"/>
  <c r="H936" i="4"/>
  <c r="G936" i="4"/>
  <c r="H935" i="4"/>
  <c r="G935" i="4"/>
  <c r="H934" i="4"/>
  <c r="G934" i="4"/>
  <c r="H933" i="4"/>
  <c r="G933" i="4"/>
  <c r="H932" i="4"/>
  <c r="G932" i="4"/>
  <c r="H931" i="4"/>
  <c r="G931" i="4"/>
  <c r="H930" i="4"/>
  <c r="G930" i="4"/>
  <c r="H929" i="4"/>
  <c r="G929" i="4"/>
  <c r="H928" i="4"/>
  <c r="G928" i="4"/>
  <c r="H927" i="4"/>
  <c r="G927" i="4"/>
  <c r="H926" i="4"/>
  <c r="G926" i="4"/>
  <c r="H925" i="4"/>
  <c r="G925" i="4"/>
  <c r="H924" i="4"/>
  <c r="G924" i="4"/>
  <c r="H923" i="4"/>
  <c r="G923" i="4"/>
  <c r="H922" i="4"/>
  <c r="G922" i="4"/>
  <c r="H921" i="4"/>
  <c r="G921" i="4"/>
  <c r="H920" i="4"/>
  <c r="G920" i="4"/>
  <c r="H919" i="4"/>
  <c r="G919" i="4"/>
  <c r="H918" i="4"/>
  <c r="G918" i="4"/>
  <c r="H917" i="4"/>
  <c r="G917" i="4"/>
  <c r="H916" i="4"/>
  <c r="G916" i="4"/>
  <c r="H915" i="4"/>
  <c r="G915" i="4"/>
  <c r="H914" i="4"/>
  <c r="G914" i="4"/>
  <c r="H913" i="4"/>
  <c r="G913" i="4"/>
  <c r="H912" i="4"/>
  <c r="G912" i="4"/>
  <c r="H911" i="4"/>
  <c r="G911" i="4"/>
  <c r="H910" i="4"/>
  <c r="G910" i="4"/>
  <c r="H909" i="4"/>
  <c r="G909" i="4"/>
  <c r="H908" i="4"/>
  <c r="G908" i="4"/>
  <c r="H907" i="4"/>
  <c r="G907" i="4"/>
  <c r="H906" i="4"/>
  <c r="G906" i="4"/>
  <c r="H905" i="4"/>
  <c r="G905" i="4"/>
  <c r="H904" i="4"/>
  <c r="G904" i="4"/>
  <c r="H903" i="4"/>
  <c r="G903" i="4"/>
  <c r="H902" i="4"/>
  <c r="G902" i="4"/>
  <c r="H901" i="4"/>
  <c r="G901" i="4"/>
  <c r="H900" i="4"/>
  <c r="G900" i="4"/>
  <c r="H899" i="4"/>
  <c r="G899" i="4"/>
  <c r="H898" i="4"/>
  <c r="G898" i="4"/>
  <c r="H897" i="4"/>
  <c r="G897" i="4"/>
  <c r="H896" i="4"/>
  <c r="G896" i="4"/>
  <c r="H895" i="4"/>
  <c r="G895" i="4"/>
  <c r="H894" i="4"/>
  <c r="G894" i="4"/>
  <c r="H893" i="4"/>
  <c r="G893" i="4"/>
  <c r="H892" i="4"/>
  <c r="G892" i="4"/>
  <c r="H891" i="4"/>
  <c r="G891" i="4"/>
  <c r="H890" i="4"/>
  <c r="G890" i="4"/>
  <c r="H889" i="4"/>
  <c r="G889" i="4"/>
  <c r="H888" i="4"/>
  <c r="G888" i="4"/>
  <c r="H887" i="4"/>
  <c r="G887" i="4"/>
  <c r="H886" i="4"/>
  <c r="G886" i="4"/>
  <c r="H885" i="4"/>
  <c r="G885" i="4"/>
  <c r="H884" i="4"/>
  <c r="G884" i="4"/>
  <c r="H883" i="4"/>
  <c r="G883" i="4"/>
  <c r="H882" i="4"/>
  <c r="G882" i="4"/>
  <c r="H881" i="4"/>
  <c r="G881" i="4"/>
  <c r="H880" i="4"/>
  <c r="G880" i="4"/>
  <c r="H879" i="4"/>
  <c r="G879" i="4"/>
  <c r="H878" i="4"/>
  <c r="G878" i="4"/>
  <c r="H877" i="4"/>
  <c r="G877" i="4"/>
  <c r="H876" i="4"/>
  <c r="G876" i="4"/>
  <c r="H875" i="4"/>
  <c r="G875" i="4"/>
  <c r="H874" i="4"/>
  <c r="G874" i="4"/>
  <c r="H873" i="4"/>
  <c r="G873" i="4"/>
  <c r="H872" i="4"/>
  <c r="G872" i="4"/>
  <c r="H871" i="4"/>
  <c r="G871" i="4"/>
  <c r="H870" i="4"/>
  <c r="G870" i="4"/>
  <c r="H869" i="4"/>
  <c r="G869" i="4"/>
  <c r="H868" i="4"/>
  <c r="G868" i="4"/>
  <c r="H867" i="4"/>
  <c r="G867" i="4"/>
  <c r="H866" i="4"/>
  <c r="G866" i="4"/>
  <c r="H865" i="4"/>
  <c r="G865" i="4"/>
  <c r="H864" i="4"/>
  <c r="G864" i="4"/>
  <c r="H863" i="4"/>
  <c r="G863" i="4"/>
  <c r="H862" i="4"/>
  <c r="G862" i="4"/>
  <c r="H861" i="4"/>
  <c r="G861" i="4"/>
  <c r="H860" i="4"/>
  <c r="G860" i="4"/>
  <c r="H859" i="4"/>
  <c r="G859" i="4"/>
  <c r="H858" i="4"/>
  <c r="G858" i="4"/>
  <c r="H857" i="4"/>
  <c r="G857" i="4"/>
  <c r="H856" i="4"/>
  <c r="G856" i="4"/>
  <c r="H855" i="4"/>
  <c r="G855" i="4"/>
  <c r="H854" i="4"/>
  <c r="G854" i="4"/>
  <c r="H853" i="4"/>
  <c r="G853" i="4"/>
  <c r="H852" i="4"/>
  <c r="G852" i="4"/>
  <c r="H851" i="4"/>
  <c r="G851" i="4"/>
  <c r="H850" i="4"/>
  <c r="G850" i="4"/>
  <c r="H849" i="4"/>
  <c r="G849" i="4"/>
  <c r="H848" i="4"/>
  <c r="G848" i="4"/>
  <c r="H847" i="4"/>
  <c r="G847" i="4"/>
  <c r="H846" i="4"/>
  <c r="G846" i="4"/>
  <c r="H845" i="4"/>
  <c r="G845" i="4"/>
  <c r="H844" i="4"/>
  <c r="G844" i="4"/>
  <c r="H843" i="4"/>
  <c r="G843" i="4"/>
  <c r="H842" i="4"/>
  <c r="G842" i="4"/>
  <c r="H841" i="4"/>
  <c r="G841" i="4"/>
  <c r="H840" i="4"/>
  <c r="G840" i="4"/>
  <c r="H839" i="4"/>
  <c r="G839" i="4"/>
  <c r="H838" i="4"/>
  <c r="G838" i="4"/>
  <c r="H837" i="4"/>
  <c r="G837" i="4"/>
  <c r="H836" i="4"/>
  <c r="G836" i="4"/>
  <c r="H835" i="4"/>
  <c r="G835" i="4"/>
  <c r="H834" i="4"/>
  <c r="G834" i="4"/>
  <c r="H833" i="4"/>
  <c r="G833" i="4"/>
  <c r="H832" i="4"/>
  <c r="G832" i="4"/>
  <c r="H831" i="4"/>
  <c r="G831" i="4"/>
  <c r="H830" i="4"/>
  <c r="G830" i="4"/>
  <c r="H829" i="4"/>
  <c r="G829" i="4"/>
  <c r="H828" i="4"/>
  <c r="G828" i="4"/>
  <c r="H827" i="4"/>
  <c r="G827" i="4"/>
  <c r="H826" i="4"/>
  <c r="G826" i="4"/>
  <c r="H825" i="4"/>
  <c r="G825" i="4"/>
  <c r="H824" i="4"/>
  <c r="G824" i="4"/>
  <c r="H823" i="4"/>
  <c r="G823" i="4"/>
  <c r="H822" i="4"/>
  <c r="G822" i="4"/>
  <c r="H821" i="4"/>
  <c r="G821" i="4"/>
  <c r="H820" i="4"/>
  <c r="G820" i="4"/>
  <c r="H819" i="4"/>
  <c r="G819" i="4"/>
  <c r="H818" i="4"/>
  <c r="G818" i="4"/>
  <c r="H817" i="4"/>
  <c r="G817" i="4"/>
  <c r="H816" i="4"/>
  <c r="G816" i="4"/>
  <c r="H815" i="4"/>
  <c r="G815" i="4"/>
  <c r="H814" i="4"/>
  <c r="G814" i="4"/>
  <c r="H813" i="4"/>
  <c r="G813" i="4"/>
  <c r="H812" i="4"/>
  <c r="G812" i="4"/>
  <c r="H811" i="4"/>
  <c r="G811" i="4"/>
  <c r="H810" i="4"/>
  <c r="G810" i="4"/>
  <c r="H809" i="4"/>
  <c r="G809" i="4"/>
  <c r="H808" i="4"/>
  <c r="G808" i="4"/>
  <c r="H807" i="4"/>
  <c r="G807" i="4"/>
  <c r="H806" i="4"/>
  <c r="G806" i="4"/>
  <c r="H805" i="4"/>
  <c r="G805" i="4"/>
  <c r="H804" i="4"/>
  <c r="G804" i="4"/>
  <c r="H803" i="4"/>
  <c r="G803" i="4"/>
  <c r="H802" i="4"/>
  <c r="G802" i="4"/>
  <c r="H801" i="4"/>
  <c r="G801" i="4"/>
  <c r="H800" i="4"/>
  <c r="G800" i="4"/>
  <c r="H799" i="4"/>
  <c r="G799" i="4"/>
  <c r="H798" i="4"/>
  <c r="G798" i="4"/>
  <c r="H797" i="4"/>
  <c r="G797" i="4"/>
  <c r="H796" i="4"/>
  <c r="G796" i="4"/>
  <c r="H795" i="4"/>
  <c r="G795" i="4"/>
  <c r="H794" i="4"/>
  <c r="G794" i="4"/>
  <c r="H793" i="4"/>
  <c r="G793" i="4"/>
  <c r="H792" i="4"/>
  <c r="G792" i="4"/>
  <c r="H791" i="4"/>
  <c r="G791" i="4"/>
  <c r="H790" i="4"/>
  <c r="G790" i="4"/>
  <c r="H789" i="4"/>
  <c r="G789" i="4"/>
  <c r="H788" i="4"/>
  <c r="G788" i="4"/>
  <c r="H787" i="4"/>
  <c r="G787" i="4"/>
  <c r="H786" i="4"/>
  <c r="G786" i="4"/>
  <c r="H785" i="4"/>
  <c r="G785" i="4"/>
  <c r="H784" i="4"/>
  <c r="G784" i="4"/>
  <c r="H783" i="4"/>
  <c r="G783" i="4"/>
  <c r="H782" i="4"/>
  <c r="G782" i="4"/>
  <c r="H781" i="4"/>
  <c r="G781" i="4"/>
  <c r="H780" i="4"/>
  <c r="G780" i="4"/>
  <c r="H779" i="4"/>
  <c r="G779" i="4"/>
  <c r="H778" i="4"/>
  <c r="G778" i="4"/>
  <c r="H777" i="4"/>
  <c r="G777" i="4"/>
  <c r="H776" i="4"/>
  <c r="G776" i="4"/>
  <c r="H775" i="4"/>
  <c r="G775" i="4"/>
  <c r="H774" i="4"/>
  <c r="G774" i="4"/>
  <c r="H773" i="4"/>
  <c r="G773" i="4"/>
  <c r="H772" i="4"/>
  <c r="G772" i="4"/>
  <c r="H771" i="4"/>
  <c r="G771" i="4"/>
  <c r="H770" i="4"/>
  <c r="G770" i="4"/>
  <c r="H769" i="4"/>
  <c r="G769" i="4"/>
  <c r="H768" i="4"/>
  <c r="G768" i="4"/>
  <c r="H767" i="4"/>
  <c r="G767" i="4"/>
  <c r="H766" i="4"/>
  <c r="G766" i="4"/>
  <c r="H765" i="4"/>
  <c r="G765" i="4"/>
  <c r="H764" i="4"/>
  <c r="G764" i="4"/>
  <c r="H763" i="4"/>
  <c r="G763" i="4"/>
  <c r="H762" i="4"/>
  <c r="G762" i="4"/>
  <c r="H761" i="4"/>
  <c r="G761" i="4"/>
  <c r="H760" i="4"/>
  <c r="G760" i="4"/>
  <c r="H759" i="4"/>
  <c r="G759" i="4"/>
  <c r="H758" i="4"/>
  <c r="G758" i="4"/>
  <c r="H757" i="4"/>
  <c r="G757" i="4"/>
  <c r="H756" i="4"/>
  <c r="G756" i="4"/>
  <c r="H755" i="4"/>
  <c r="G755" i="4"/>
  <c r="H754" i="4"/>
  <c r="G754" i="4"/>
  <c r="H753" i="4"/>
  <c r="G753" i="4"/>
  <c r="H752" i="4"/>
  <c r="G752" i="4"/>
  <c r="H751" i="4"/>
  <c r="G751" i="4"/>
  <c r="H750" i="4"/>
  <c r="G750" i="4"/>
  <c r="H749" i="4"/>
  <c r="G749" i="4"/>
  <c r="H748" i="4"/>
  <c r="G748" i="4"/>
  <c r="H747" i="4"/>
  <c r="G747" i="4"/>
  <c r="H746" i="4"/>
  <c r="G746" i="4"/>
  <c r="H745" i="4"/>
  <c r="G745" i="4"/>
  <c r="H744" i="4"/>
  <c r="G744" i="4"/>
  <c r="H743" i="4"/>
  <c r="G743" i="4"/>
  <c r="H742" i="4"/>
  <c r="G742" i="4"/>
  <c r="H741" i="4"/>
  <c r="G741" i="4"/>
  <c r="H740" i="4"/>
  <c r="G740" i="4"/>
  <c r="H739" i="4"/>
  <c r="G739" i="4"/>
  <c r="H738" i="4"/>
  <c r="G738" i="4"/>
  <c r="H737" i="4"/>
  <c r="G737" i="4"/>
  <c r="H736" i="4"/>
  <c r="G736" i="4"/>
  <c r="H735" i="4"/>
  <c r="G735" i="4"/>
  <c r="H734" i="4"/>
  <c r="G734" i="4"/>
  <c r="H733" i="4"/>
  <c r="G733" i="4"/>
  <c r="H732" i="4"/>
  <c r="G732" i="4"/>
  <c r="H731" i="4"/>
  <c r="G731" i="4"/>
  <c r="H730" i="4"/>
  <c r="G730" i="4"/>
  <c r="H729" i="4"/>
  <c r="G729" i="4"/>
  <c r="H728" i="4"/>
  <c r="G728" i="4"/>
  <c r="H727" i="4"/>
  <c r="G727" i="4"/>
  <c r="H726" i="4"/>
  <c r="G726" i="4"/>
  <c r="H725" i="4"/>
  <c r="G725" i="4"/>
  <c r="H724" i="4"/>
  <c r="G724" i="4"/>
  <c r="H723" i="4"/>
  <c r="G723" i="4"/>
  <c r="H722" i="4"/>
  <c r="G722" i="4"/>
  <c r="H721" i="4"/>
  <c r="G721" i="4"/>
  <c r="H720" i="4"/>
  <c r="G720" i="4"/>
  <c r="H719" i="4"/>
  <c r="G719" i="4"/>
  <c r="H718" i="4"/>
  <c r="G718" i="4"/>
  <c r="H717" i="4"/>
  <c r="G717" i="4"/>
  <c r="H716" i="4"/>
  <c r="G716" i="4"/>
  <c r="H715" i="4"/>
  <c r="G715" i="4"/>
  <c r="H714" i="4"/>
  <c r="G714" i="4"/>
  <c r="H713" i="4"/>
  <c r="G713" i="4"/>
  <c r="H712" i="4"/>
  <c r="G712" i="4"/>
  <c r="H711" i="4"/>
  <c r="G711" i="4"/>
  <c r="H710" i="4"/>
  <c r="G710" i="4"/>
  <c r="H709" i="4"/>
  <c r="G709" i="4"/>
  <c r="H708" i="4"/>
  <c r="G708" i="4"/>
  <c r="H707" i="4"/>
  <c r="G707" i="4"/>
  <c r="H706" i="4"/>
  <c r="G706" i="4"/>
  <c r="H705" i="4"/>
  <c r="G705" i="4"/>
  <c r="H704" i="4"/>
  <c r="G704" i="4"/>
  <c r="H703" i="4"/>
  <c r="G703" i="4"/>
  <c r="H702" i="4"/>
  <c r="G702" i="4"/>
  <c r="H701" i="4"/>
  <c r="G701" i="4"/>
  <c r="H700" i="4"/>
  <c r="G700" i="4"/>
  <c r="H699" i="4"/>
  <c r="G699" i="4"/>
  <c r="H698" i="4"/>
  <c r="G698" i="4"/>
  <c r="H697" i="4"/>
  <c r="G697" i="4"/>
  <c r="H696" i="4"/>
  <c r="G696" i="4"/>
  <c r="H695" i="4"/>
  <c r="G695" i="4"/>
  <c r="H694" i="4"/>
  <c r="G694" i="4"/>
  <c r="H693" i="4"/>
  <c r="G693" i="4"/>
  <c r="H692" i="4"/>
  <c r="G692" i="4"/>
  <c r="H691" i="4"/>
  <c r="G691" i="4"/>
  <c r="H690" i="4"/>
  <c r="G690" i="4"/>
  <c r="H689" i="4"/>
  <c r="G689" i="4"/>
  <c r="H688" i="4"/>
  <c r="G688" i="4"/>
  <c r="H687" i="4"/>
  <c r="G687" i="4"/>
  <c r="H686" i="4"/>
  <c r="G686" i="4"/>
  <c r="H685" i="4"/>
  <c r="G685" i="4"/>
  <c r="H684" i="4"/>
  <c r="G684" i="4"/>
  <c r="H683" i="4"/>
  <c r="G683" i="4"/>
  <c r="H682" i="4"/>
  <c r="G682" i="4"/>
  <c r="H681" i="4"/>
  <c r="G681" i="4"/>
  <c r="H680" i="4"/>
  <c r="G680" i="4"/>
  <c r="H679" i="4"/>
  <c r="G679" i="4"/>
  <c r="H678" i="4"/>
  <c r="G678" i="4"/>
  <c r="H677" i="4"/>
  <c r="G677" i="4"/>
  <c r="H676" i="4"/>
  <c r="G676" i="4"/>
  <c r="H675" i="4"/>
  <c r="G675" i="4"/>
  <c r="H674" i="4"/>
  <c r="G674" i="4"/>
  <c r="H673" i="4"/>
  <c r="G673" i="4"/>
  <c r="H672" i="4"/>
  <c r="G672" i="4"/>
  <c r="H671" i="4"/>
  <c r="G671" i="4"/>
  <c r="H670" i="4"/>
  <c r="G670" i="4"/>
  <c r="H669" i="4"/>
  <c r="G669" i="4"/>
  <c r="H668" i="4"/>
  <c r="G668" i="4"/>
  <c r="H667" i="4"/>
  <c r="G667" i="4"/>
  <c r="H666" i="4"/>
  <c r="G666" i="4"/>
  <c r="H665" i="4"/>
  <c r="G665" i="4"/>
  <c r="H664" i="4"/>
  <c r="G664" i="4"/>
  <c r="H663" i="4"/>
  <c r="G663" i="4"/>
  <c r="H662" i="4"/>
  <c r="G662" i="4"/>
  <c r="H661" i="4"/>
  <c r="G661" i="4"/>
  <c r="H660" i="4"/>
  <c r="G660" i="4"/>
  <c r="H659" i="4"/>
  <c r="G659" i="4"/>
  <c r="H658" i="4"/>
  <c r="G658" i="4"/>
  <c r="H657" i="4"/>
  <c r="G657" i="4"/>
  <c r="H656" i="4"/>
  <c r="G656" i="4"/>
  <c r="H655" i="4"/>
  <c r="G655" i="4"/>
  <c r="H654" i="4"/>
  <c r="G654" i="4"/>
  <c r="H653" i="4"/>
  <c r="G653" i="4"/>
  <c r="H652" i="4"/>
  <c r="G652" i="4"/>
  <c r="H651" i="4"/>
  <c r="G651" i="4"/>
  <c r="H650" i="4"/>
  <c r="G650" i="4"/>
  <c r="H649" i="4"/>
  <c r="G649" i="4"/>
  <c r="H648" i="4"/>
  <c r="G648" i="4"/>
  <c r="H647" i="4"/>
  <c r="G647" i="4"/>
  <c r="H646" i="4"/>
  <c r="G646" i="4"/>
  <c r="H645" i="4"/>
  <c r="G645" i="4"/>
  <c r="H644" i="4"/>
  <c r="G644" i="4"/>
  <c r="H643" i="4"/>
  <c r="G643" i="4"/>
  <c r="H642" i="4"/>
  <c r="G642" i="4"/>
  <c r="H641" i="4"/>
  <c r="G641" i="4"/>
  <c r="H640" i="4"/>
  <c r="G640" i="4"/>
  <c r="H639" i="4"/>
  <c r="G639" i="4"/>
  <c r="H638" i="4"/>
  <c r="G638" i="4"/>
  <c r="H637" i="4"/>
  <c r="G637" i="4"/>
  <c r="H636" i="4"/>
  <c r="G636" i="4"/>
  <c r="H635" i="4"/>
  <c r="G635" i="4"/>
  <c r="H634" i="4"/>
  <c r="G634" i="4"/>
  <c r="H633" i="4"/>
  <c r="G633" i="4"/>
  <c r="H632" i="4"/>
  <c r="G632" i="4"/>
  <c r="H631" i="4"/>
  <c r="G631" i="4"/>
  <c r="H630" i="4"/>
  <c r="G630" i="4"/>
  <c r="H629" i="4"/>
  <c r="G629" i="4"/>
  <c r="H628" i="4"/>
  <c r="G628" i="4"/>
  <c r="H627" i="4"/>
  <c r="G627" i="4"/>
  <c r="H626" i="4"/>
  <c r="G626" i="4"/>
  <c r="H625" i="4"/>
  <c r="G625" i="4"/>
  <c r="H624" i="4"/>
  <c r="G624" i="4"/>
  <c r="H623" i="4"/>
  <c r="G623" i="4"/>
  <c r="H622" i="4"/>
  <c r="G622" i="4"/>
  <c r="H621" i="4"/>
  <c r="G621" i="4"/>
  <c r="H620" i="4"/>
  <c r="G620" i="4"/>
  <c r="H619" i="4"/>
  <c r="G619" i="4"/>
  <c r="H618" i="4"/>
  <c r="G618" i="4"/>
  <c r="H617" i="4"/>
  <c r="G617" i="4"/>
  <c r="H616" i="4"/>
  <c r="G616" i="4"/>
  <c r="H615" i="4"/>
  <c r="G615" i="4"/>
  <c r="H614" i="4"/>
  <c r="G614" i="4"/>
  <c r="H613" i="4"/>
  <c r="G613" i="4"/>
  <c r="H612" i="4"/>
  <c r="G612" i="4"/>
  <c r="H611" i="4"/>
  <c r="G611" i="4"/>
  <c r="H610" i="4"/>
  <c r="G610" i="4"/>
  <c r="H609" i="4"/>
  <c r="G609" i="4"/>
  <c r="H608" i="4"/>
  <c r="G608" i="4"/>
  <c r="H607" i="4"/>
  <c r="G607" i="4"/>
  <c r="H606" i="4"/>
  <c r="G606" i="4"/>
  <c r="H605" i="4"/>
  <c r="G605" i="4"/>
  <c r="H604" i="4"/>
  <c r="G604" i="4"/>
  <c r="H603" i="4"/>
  <c r="G603" i="4"/>
  <c r="H602" i="4"/>
  <c r="G602" i="4"/>
  <c r="H601" i="4"/>
  <c r="G601" i="4"/>
  <c r="H600" i="4"/>
  <c r="G600" i="4"/>
  <c r="H599" i="4"/>
  <c r="G599" i="4"/>
  <c r="H598" i="4"/>
  <c r="G598" i="4"/>
  <c r="H597" i="4"/>
  <c r="G597" i="4"/>
  <c r="H596" i="4"/>
  <c r="G596" i="4"/>
  <c r="H595" i="4"/>
  <c r="G595" i="4"/>
  <c r="H594" i="4"/>
  <c r="G594" i="4"/>
  <c r="H593" i="4"/>
  <c r="G593" i="4"/>
  <c r="H592" i="4"/>
  <c r="G592" i="4"/>
  <c r="H591" i="4"/>
  <c r="G591" i="4"/>
  <c r="H590" i="4"/>
  <c r="G590" i="4"/>
  <c r="H589" i="4"/>
  <c r="G589" i="4"/>
  <c r="H588" i="4"/>
  <c r="G588" i="4"/>
  <c r="H587" i="4"/>
  <c r="G587" i="4"/>
  <c r="H586" i="4"/>
  <c r="G586" i="4"/>
  <c r="H585" i="4"/>
  <c r="G585" i="4"/>
  <c r="H584" i="4"/>
  <c r="G584" i="4"/>
  <c r="H583" i="4"/>
  <c r="G583" i="4"/>
  <c r="H582" i="4"/>
  <c r="G582" i="4"/>
  <c r="H581" i="4"/>
  <c r="G581" i="4"/>
  <c r="H580" i="4"/>
  <c r="G580" i="4"/>
  <c r="H579" i="4"/>
  <c r="G579" i="4"/>
  <c r="H578" i="4"/>
  <c r="G578" i="4"/>
  <c r="H577" i="4"/>
  <c r="G577" i="4"/>
  <c r="H576" i="4"/>
  <c r="G576" i="4"/>
  <c r="H575" i="4"/>
  <c r="G575" i="4"/>
  <c r="H574" i="4"/>
  <c r="G574" i="4"/>
  <c r="H573" i="4"/>
  <c r="G573" i="4"/>
  <c r="H572" i="4"/>
  <c r="G572" i="4"/>
  <c r="H571" i="4"/>
  <c r="G571" i="4"/>
  <c r="H570" i="4"/>
  <c r="G570" i="4"/>
  <c r="H569" i="4"/>
  <c r="G569" i="4"/>
  <c r="H568" i="4"/>
  <c r="G568" i="4"/>
  <c r="H567" i="4"/>
  <c r="G567" i="4"/>
  <c r="H566" i="4"/>
  <c r="G566" i="4"/>
  <c r="H565" i="4"/>
  <c r="G565" i="4"/>
  <c r="H564" i="4"/>
  <c r="G564" i="4"/>
  <c r="H563" i="4"/>
  <c r="G563" i="4"/>
  <c r="H562" i="4"/>
  <c r="G562" i="4"/>
  <c r="H561" i="4"/>
  <c r="G561" i="4"/>
  <c r="H560" i="4"/>
  <c r="G560" i="4"/>
  <c r="H559" i="4"/>
  <c r="G559" i="4"/>
  <c r="H558" i="4"/>
  <c r="G558" i="4"/>
  <c r="H557" i="4"/>
  <c r="G557" i="4"/>
  <c r="H556" i="4"/>
  <c r="G556" i="4"/>
  <c r="H555" i="4"/>
  <c r="G555" i="4"/>
  <c r="H554" i="4"/>
  <c r="G554" i="4"/>
  <c r="H553" i="4"/>
  <c r="G553" i="4"/>
  <c r="H552" i="4"/>
  <c r="G552" i="4"/>
  <c r="H551" i="4"/>
  <c r="G551" i="4"/>
  <c r="H550" i="4"/>
  <c r="G550" i="4"/>
  <c r="H549" i="4"/>
  <c r="G549" i="4"/>
  <c r="H548" i="4"/>
  <c r="G548" i="4"/>
  <c r="H547" i="4"/>
  <c r="G547" i="4"/>
  <c r="H546" i="4"/>
  <c r="G546" i="4"/>
  <c r="H545" i="4"/>
  <c r="G545" i="4"/>
  <c r="H544" i="4"/>
  <c r="G544" i="4"/>
  <c r="H543" i="4"/>
  <c r="G543" i="4"/>
  <c r="H542" i="4"/>
  <c r="G542" i="4"/>
  <c r="H541" i="4"/>
  <c r="G541" i="4"/>
  <c r="H540" i="4"/>
  <c r="G540" i="4"/>
  <c r="H539" i="4"/>
  <c r="G539" i="4"/>
  <c r="H538" i="4"/>
  <c r="G538" i="4"/>
  <c r="H537" i="4"/>
  <c r="G537" i="4"/>
  <c r="H536" i="4"/>
  <c r="G536" i="4"/>
  <c r="H535" i="4"/>
  <c r="G535" i="4"/>
  <c r="H534" i="4"/>
  <c r="G534" i="4"/>
  <c r="H533" i="4"/>
  <c r="G533" i="4"/>
  <c r="H532" i="4"/>
  <c r="G532" i="4"/>
  <c r="H531" i="4"/>
  <c r="G531" i="4"/>
  <c r="H530" i="4"/>
  <c r="G530" i="4"/>
  <c r="H529" i="4"/>
  <c r="G529" i="4"/>
  <c r="H528" i="4"/>
  <c r="G528" i="4"/>
  <c r="H527" i="4"/>
  <c r="G527" i="4"/>
  <c r="H526" i="4"/>
  <c r="G526" i="4"/>
  <c r="H525" i="4"/>
  <c r="G525" i="4"/>
  <c r="H524" i="4"/>
  <c r="G524" i="4"/>
  <c r="H523" i="4"/>
  <c r="G523" i="4"/>
  <c r="H522" i="4"/>
  <c r="G522" i="4"/>
  <c r="H521" i="4"/>
  <c r="G521" i="4"/>
  <c r="H520" i="4"/>
  <c r="G520" i="4"/>
  <c r="H519" i="4"/>
  <c r="G519" i="4"/>
  <c r="H518" i="4"/>
  <c r="G518" i="4"/>
  <c r="H517" i="4"/>
  <c r="G517" i="4"/>
  <c r="H516" i="4"/>
  <c r="G516" i="4"/>
  <c r="H515" i="4"/>
  <c r="G515" i="4"/>
  <c r="H514" i="4"/>
  <c r="G514" i="4"/>
  <c r="H513" i="4"/>
  <c r="G513" i="4"/>
  <c r="H512" i="4"/>
  <c r="G512" i="4"/>
  <c r="H511" i="4"/>
  <c r="G511" i="4"/>
  <c r="H510" i="4"/>
  <c r="G510" i="4"/>
  <c r="H509" i="4"/>
  <c r="G509" i="4"/>
  <c r="H508" i="4"/>
  <c r="G508" i="4"/>
  <c r="H507" i="4"/>
  <c r="G507" i="4"/>
  <c r="H506" i="4"/>
  <c r="G506" i="4"/>
  <c r="H505" i="4"/>
  <c r="G505" i="4"/>
  <c r="H504" i="4"/>
  <c r="G504" i="4"/>
  <c r="H503" i="4"/>
  <c r="G503" i="4"/>
  <c r="H502" i="4"/>
  <c r="G502" i="4"/>
  <c r="H501" i="4"/>
  <c r="G501" i="4"/>
  <c r="H500" i="4"/>
  <c r="G500" i="4"/>
  <c r="H499" i="4"/>
  <c r="G499" i="4"/>
  <c r="H498" i="4"/>
  <c r="G498" i="4"/>
  <c r="H497" i="4"/>
  <c r="G497" i="4"/>
  <c r="H496" i="4"/>
  <c r="G496" i="4"/>
  <c r="H495" i="4"/>
  <c r="G495" i="4"/>
  <c r="H494" i="4"/>
  <c r="G494" i="4"/>
  <c r="H493" i="4"/>
  <c r="G493" i="4"/>
  <c r="H492" i="4"/>
  <c r="G492" i="4"/>
  <c r="H491" i="4"/>
  <c r="G491" i="4"/>
  <c r="H490" i="4"/>
  <c r="G490" i="4"/>
  <c r="H489" i="4"/>
  <c r="G489" i="4"/>
  <c r="H488" i="4"/>
  <c r="G488" i="4"/>
  <c r="H487" i="4"/>
  <c r="G487" i="4"/>
  <c r="H486" i="4"/>
  <c r="G486" i="4"/>
  <c r="H485" i="4"/>
  <c r="G485" i="4"/>
  <c r="H484" i="4"/>
  <c r="G484" i="4"/>
  <c r="H483" i="4"/>
  <c r="G483" i="4"/>
  <c r="H482" i="4"/>
  <c r="G482" i="4"/>
  <c r="H481" i="4"/>
  <c r="G481" i="4"/>
  <c r="H480" i="4"/>
  <c r="G480" i="4"/>
  <c r="H479" i="4"/>
  <c r="G479" i="4"/>
  <c r="H478" i="4"/>
  <c r="G478" i="4"/>
  <c r="H477" i="4"/>
  <c r="G477" i="4"/>
  <c r="H476" i="4"/>
  <c r="G476" i="4"/>
  <c r="H475" i="4"/>
  <c r="G475" i="4"/>
  <c r="H474" i="4"/>
  <c r="G474" i="4"/>
  <c r="H473" i="4"/>
  <c r="G473" i="4"/>
  <c r="H472" i="4"/>
  <c r="G472" i="4"/>
  <c r="H471" i="4"/>
  <c r="G471" i="4"/>
  <c r="H470" i="4"/>
  <c r="G470" i="4"/>
  <c r="H469" i="4"/>
  <c r="G469" i="4"/>
  <c r="H468" i="4"/>
  <c r="G468" i="4"/>
  <c r="H467" i="4"/>
  <c r="G467" i="4"/>
  <c r="H466" i="4"/>
  <c r="G466" i="4"/>
  <c r="H465" i="4"/>
  <c r="G465" i="4"/>
  <c r="H464" i="4"/>
  <c r="G464" i="4"/>
  <c r="H463" i="4"/>
  <c r="G463" i="4"/>
  <c r="H462" i="4"/>
  <c r="G462" i="4"/>
  <c r="H461" i="4"/>
  <c r="G461" i="4"/>
  <c r="H460" i="4"/>
  <c r="G460" i="4"/>
  <c r="H459" i="4"/>
  <c r="G459" i="4"/>
  <c r="H458" i="4"/>
  <c r="G458" i="4"/>
  <c r="H457" i="4"/>
  <c r="G457" i="4"/>
  <c r="H456" i="4"/>
  <c r="G456" i="4"/>
  <c r="H455" i="4"/>
  <c r="G455" i="4"/>
  <c r="H454" i="4"/>
  <c r="G454" i="4"/>
  <c r="H453" i="4"/>
  <c r="G453" i="4"/>
  <c r="H452" i="4"/>
  <c r="G452" i="4"/>
  <c r="H451" i="4"/>
  <c r="G451" i="4"/>
  <c r="H450" i="4"/>
  <c r="G450" i="4"/>
  <c r="H449" i="4"/>
  <c r="G449" i="4"/>
  <c r="H448" i="4"/>
  <c r="G448" i="4"/>
  <c r="H447" i="4"/>
  <c r="G447" i="4"/>
  <c r="H446" i="4"/>
  <c r="G446" i="4"/>
  <c r="H445" i="4"/>
  <c r="G445" i="4"/>
  <c r="H444" i="4"/>
  <c r="G444" i="4"/>
  <c r="H443" i="4"/>
  <c r="G443" i="4"/>
  <c r="H442" i="4"/>
  <c r="G442" i="4"/>
  <c r="H441" i="4"/>
  <c r="G441" i="4"/>
  <c r="H440" i="4"/>
  <c r="G440" i="4"/>
  <c r="H439" i="4"/>
  <c r="G439" i="4"/>
  <c r="H438" i="4"/>
  <c r="G438" i="4"/>
  <c r="H437" i="4"/>
  <c r="G437" i="4"/>
  <c r="H436" i="4"/>
  <c r="G436" i="4"/>
  <c r="H435" i="4"/>
  <c r="G435" i="4"/>
  <c r="H434" i="4"/>
  <c r="G434" i="4"/>
  <c r="H433" i="4"/>
  <c r="G433" i="4"/>
  <c r="H432" i="4"/>
  <c r="G432" i="4"/>
  <c r="H431" i="4"/>
  <c r="G431" i="4"/>
  <c r="H430" i="4"/>
  <c r="G430" i="4"/>
  <c r="H429" i="4"/>
  <c r="G429" i="4"/>
  <c r="H428" i="4"/>
  <c r="G428" i="4"/>
  <c r="H427" i="4"/>
  <c r="G427" i="4"/>
  <c r="H426" i="4"/>
  <c r="G426" i="4"/>
  <c r="H425" i="4"/>
  <c r="G425" i="4"/>
  <c r="H424" i="4"/>
  <c r="G424" i="4"/>
  <c r="H423" i="4"/>
  <c r="G423" i="4"/>
  <c r="H422" i="4"/>
  <c r="G422" i="4"/>
  <c r="H421" i="4"/>
  <c r="G421" i="4"/>
  <c r="H420" i="4"/>
  <c r="G420" i="4"/>
  <c r="H419" i="4"/>
  <c r="G419" i="4"/>
  <c r="H418" i="4"/>
  <c r="G418" i="4"/>
  <c r="H417" i="4"/>
  <c r="G417" i="4"/>
  <c r="H416" i="4"/>
  <c r="G416" i="4"/>
  <c r="H415" i="4"/>
  <c r="G415" i="4"/>
  <c r="H414" i="4"/>
  <c r="G414" i="4"/>
  <c r="H413" i="4"/>
  <c r="G413" i="4"/>
  <c r="H412" i="4"/>
  <c r="G412" i="4"/>
  <c r="H411" i="4"/>
  <c r="G411" i="4"/>
  <c r="H410" i="4"/>
  <c r="G410" i="4"/>
  <c r="H409" i="4"/>
  <c r="G409" i="4"/>
  <c r="H408" i="4"/>
  <c r="G408" i="4"/>
  <c r="H407" i="4"/>
  <c r="G407" i="4"/>
  <c r="H406" i="4"/>
  <c r="G406" i="4"/>
  <c r="H405" i="4"/>
  <c r="G405" i="4"/>
  <c r="H404" i="4"/>
  <c r="G404" i="4"/>
  <c r="H403" i="4"/>
  <c r="G403" i="4"/>
  <c r="H402" i="4"/>
  <c r="G402" i="4"/>
  <c r="H401" i="4"/>
  <c r="G401" i="4"/>
  <c r="H400" i="4"/>
  <c r="G400" i="4"/>
  <c r="H399" i="4"/>
  <c r="G399" i="4"/>
  <c r="H398" i="4"/>
  <c r="G398" i="4"/>
  <c r="H397" i="4"/>
  <c r="G397" i="4"/>
  <c r="H396" i="4"/>
  <c r="G396" i="4"/>
  <c r="H395" i="4"/>
  <c r="G395" i="4"/>
  <c r="H394" i="4"/>
  <c r="G394" i="4"/>
  <c r="H393" i="4"/>
  <c r="G393" i="4"/>
  <c r="H392" i="4"/>
  <c r="G392" i="4"/>
  <c r="H391" i="4"/>
  <c r="G391" i="4"/>
  <c r="H390" i="4"/>
  <c r="G390" i="4"/>
  <c r="H389" i="4"/>
  <c r="G389" i="4"/>
  <c r="H388" i="4"/>
  <c r="G388" i="4"/>
  <c r="H387" i="4"/>
  <c r="G387" i="4"/>
  <c r="H386" i="4"/>
  <c r="G386" i="4"/>
  <c r="H385" i="4"/>
  <c r="G385" i="4"/>
  <c r="H384" i="4"/>
  <c r="G384" i="4"/>
  <c r="H383" i="4"/>
  <c r="G383" i="4"/>
  <c r="H382" i="4"/>
  <c r="G382" i="4"/>
  <c r="H381" i="4"/>
  <c r="G381" i="4"/>
  <c r="H380" i="4"/>
  <c r="G380" i="4"/>
  <c r="H379" i="4"/>
  <c r="G379" i="4"/>
  <c r="H378" i="4"/>
  <c r="G378" i="4"/>
  <c r="H377" i="4"/>
  <c r="G377" i="4"/>
  <c r="H376" i="4"/>
  <c r="G376" i="4"/>
  <c r="H375" i="4"/>
  <c r="G375" i="4"/>
  <c r="H374" i="4"/>
  <c r="G374" i="4"/>
  <c r="H373" i="4"/>
  <c r="G373" i="4"/>
  <c r="H372" i="4"/>
  <c r="G372" i="4"/>
  <c r="H371" i="4"/>
  <c r="G371" i="4"/>
  <c r="H370" i="4"/>
  <c r="G370" i="4"/>
  <c r="H369" i="4"/>
  <c r="G369" i="4"/>
  <c r="H368" i="4"/>
  <c r="G368" i="4"/>
  <c r="H367" i="4"/>
  <c r="G367" i="4"/>
  <c r="H366" i="4"/>
  <c r="G366" i="4"/>
  <c r="H365" i="4"/>
  <c r="G365" i="4"/>
  <c r="H364" i="4"/>
  <c r="G364" i="4"/>
  <c r="H363" i="4"/>
  <c r="G363" i="4"/>
  <c r="H362" i="4"/>
  <c r="G362" i="4"/>
  <c r="H361" i="4"/>
  <c r="G361" i="4"/>
  <c r="H360" i="4"/>
  <c r="G360" i="4"/>
  <c r="H359" i="4"/>
  <c r="G359" i="4"/>
  <c r="H358" i="4"/>
  <c r="G358" i="4"/>
  <c r="H357" i="4"/>
  <c r="G357" i="4"/>
  <c r="H356" i="4"/>
  <c r="G356" i="4"/>
  <c r="H355" i="4"/>
  <c r="G355" i="4"/>
  <c r="H354" i="4"/>
  <c r="G354" i="4"/>
  <c r="H353" i="4"/>
  <c r="G353" i="4"/>
  <c r="H352" i="4"/>
  <c r="G352" i="4"/>
  <c r="H351" i="4"/>
  <c r="G351" i="4"/>
  <c r="H350" i="4"/>
  <c r="G350" i="4"/>
  <c r="H349" i="4"/>
  <c r="G349" i="4"/>
  <c r="H348" i="4"/>
  <c r="G348" i="4"/>
  <c r="H347" i="4"/>
  <c r="G347" i="4"/>
  <c r="H346" i="4"/>
  <c r="G346" i="4"/>
  <c r="H345" i="4"/>
  <c r="G345" i="4"/>
  <c r="H344" i="4"/>
  <c r="G344" i="4"/>
  <c r="H343" i="4"/>
  <c r="G343" i="4"/>
  <c r="H342" i="4"/>
  <c r="G342" i="4"/>
  <c r="H341" i="4"/>
  <c r="G341" i="4"/>
  <c r="H340" i="4"/>
  <c r="G340" i="4"/>
  <c r="H339" i="4"/>
  <c r="G339" i="4"/>
  <c r="H338" i="4"/>
  <c r="G338" i="4"/>
  <c r="H337" i="4"/>
  <c r="G337" i="4"/>
  <c r="H336" i="4"/>
  <c r="G336" i="4"/>
  <c r="H335" i="4"/>
  <c r="G335" i="4"/>
  <c r="H334" i="4"/>
  <c r="G334" i="4"/>
  <c r="H333" i="4"/>
  <c r="G333" i="4"/>
  <c r="H332" i="4"/>
  <c r="G332" i="4"/>
  <c r="H331" i="4"/>
  <c r="G331" i="4"/>
  <c r="H330" i="4"/>
  <c r="G330" i="4"/>
  <c r="H329" i="4"/>
  <c r="G329" i="4"/>
  <c r="H328" i="4"/>
  <c r="G328" i="4"/>
  <c r="H327" i="4"/>
  <c r="G327" i="4"/>
  <c r="H326" i="4"/>
  <c r="G326" i="4"/>
  <c r="H325" i="4"/>
  <c r="G325" i="4"/>
  <c r="H324" i="4"/>
  <c r="G324" i="4"/>
  <c r="H323" i="4"/>
  <c r="G323" i="4"/>
  <c r="H322" i="4"/>
  <c r="G322" i="4"/>
  <c r="H321" i="4"/>
  <c r="G321" i="4"/>
  <c r="H320" i="4"/>
  <c r="G320" i="4"/>
  <c r="H319" i="4"/>
  <c r="G319" i="4"/>
  <c r="H318" i="4"/>
  <c r="G318" i="4"/>
  <c r="H317" i="4"/>
  <c r="G317" i="4"/>
  <c r="H316" i="4"/>
  <c r="G316" i="4"/>
  <c r="H315" i="4"/>
  <c r="G315" i="4"/>
  <c r="H314" i="4"/>
  <c r="G314" i="4"/>
  <c r="H313" i="4"/>
  <c r="G313" i="4"/>
  <c r="H312" i="4"/>
  <c r="G312" i="4"/>
  <c r="H311" i="4"/>
  <c r="G311" i="4"/>
  <c r="H310" i="4"/>
  <c r="G310" i="4"/>
  <c r="H309" i="4"/>
  <c r="G309" i="4"/>
  <c r="H308" i="4"/>
  <c r="G308" i="4"/>
  <c r="H307" i="4"/>
  <c r="G307" i="4"/>
  <c r="H306" i="4"/>
  <c r="G306" i="4"/>
  <c r="H305" i="4"/>
  <c r="G305" i="4"/>
  <c r="H304" i="4"/>
  <c r="G304" i="4"/>
  <c r="H303" i="4"/>
  <c r="G303" i="4"/>
  <c r="H302" i="4"/>
  <c r="G302" i="4"/>
  <c r="H301" i="4"/>
  <c r="G301" i="4"/>
  <c r="H300" i="4"/>
  <c r="G300" i="4"/>
  <c r="H299" i="4"/>
  <c r="G299" i="4"/>
  <c r="H298" i="4"/>
  <c r="G298" i="4"/>
  <c r="H297" i="4"/>
  <c r="G297" i="4"/>
  <c r="H296" i="4"/>
  <c r="G296" i="4"/>
  <c r="H295" i="4"/>
  <c r="G295" i="4"/>
  <c r="H294" i="4"/>
  <c r="G294" i="4"/>
  <c r="H293" i="4"/>
  <c r="G293" i="4"/>
  <c r="H292" i="4"/>
  <c r="G292" i="4"/>
  <c r="H291" i="4"/>
  <c r="G291" i="4"/>
  <c r="H290" i="4"/>
  <c r="G290" i="4"/>
  <c r="H289" i="4"/>
  <c r="G289" i="4"/>
  <c r="H288" i="4"/>
  <c r="G288" i="4"/>
  <c r="H287" i="4"/>
  <c r="G287" i="4"/>
  <c r="H286" i="4"/>
  <c r="G286" i="4"/>
  <c r="H285" i="4"/>
  <c r="G285" i="4"/>
  <c r="H284" i="4"/>
  <c r="G284" i="4"/>
  <c r="H283" i="4"/>
  <c r="G283" i="4"/>
  <c r="H282" i="4"/>
  <c r="G282" i="4"/>
  <c r="H281" i="4"/>
  <c r="G281" i="4"/>
  <c r="H280" i="4"/>
  <c r="G280" i="4"/>
  <c r="H279" i="4"/>
  <c r="G279" i="4"/>
  <c r="H278" i="4"/>
  <c r="G278" i="4"/>
  <c r="H277" i="4"/>
  <c r="G277" i="4"/>
  <c r="H276" i="4"/>
  <c r="G276" i="4"/>
  <c r="H275" i="4"/>
  <c r="G275" i="4"/>
  <c r="H274" i="4"/>
  <c r="G274" i="4"/>
  <c r="H273" i="4"/>
  <c r="G273" i="4"/>
  <c r="H272" i="4"/>
  <c r="G272" i="4"/>
  <c r="H271" i="4"/>
  <c r="G271" i="4"/>
  <c r="H270" i="4"/>
  <c r="G270" i="4"/>
  <c r="H269" i="4"/>
  <c r="G269" i="4"/>
  <c r="H268" i="4"/>
  <c r="G268" i="4"/>
  <c r="H267" i="4"/>
  <c r="G267" i="4"/>
  <c r="H266" i="4"/>
  <c r="G266" i="4"/>
  <c r="H265" i="4"/>
  <c r="G265" i="4"/>
  <c r="H264" i="4"/>
  <c r="G264" i="4"/>
  <c r="H263" i="4"/>
  <c r="G263" i="4"/>
  <c r="H262" i="4"/>
  <c r="G262" i="4"/>
  <c r="H261" i="4"/>
  <c r="G261" i="4"/>
  <c r="H260" i="4"/>
  <c r="G260" i="4"/>
  <c r="H259" i="4"/>
  <c r="G259" i="4"/>
  <c r="H258" i="4"/>
  <c r="G258" i="4"/>
  <c r="H257" i="4"/>
  <c r="G257" i="4"/>
  <c r="H256" i="4"/>
  <c r="G256" i="4"/>
  <c r="H255" i="4"/>
  <c r="G255" i="4"/>
  <c r="H254" i="4"/>
  <c r="G254" i="4"/>
  <c r="H253" i="4"/>
  <c r="G253" i="4"/>
  <c r="H252" i="4"/>
  <c r="G252" i="4"/>
  <c r="H251" i="4"/>
  <c r="G251" i="4"/>
  <c r="H250" i="4"/>
  <c r="G250" i="4"/>
  <c r="H249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208" i="4"/>
  <c r="G208" i="4"/>
  <c r="H207" i="4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7" i="4"/>
  <c r="G197" i="4"/>
  <c r="H196" i="4"/>
  <c r="G196" i="4"/>
  <c r="H195" i="4"/>
  <c r="G195" i="4"/>
  <c r="H194" i="4"/>
  <c r="G194" i="4"/>
  <c r="H193" i="4"/>
  <c r="G193" i="4"/>
  <c r="H192" i="4"/>
  <c r="G192" i="4"/>
  <c r="H191" i="4"/>
  <c r="G191" i="4"/>
  <c r="H190" i="4"/>
  <c r="G190" i="4"/>
  <c r="H189" i="4"/>
  <c r="G189" i="4"/>
  <c r="H188" i="4"/>
  <c r="G188" i="4"/>
  <c r="H187" i="4"/>
  <c r="G187" i="4"/>
  <c r="H186" i="4"/>
  <c r="G186" i="4"/>
  <c r="H185" i="4"/>
  <c r="G185" i="4"/>
  <c r="H184" i="4"/>
  <c r="G184" i="4"/>
  <c r="H183" i="4"/>
  <c r="G183" i="4"/>
  <c r="H182" i="4"/>
  <c r="G182" i="4"/>
  <c r="H181" i="4"/>
  <c r="G181" i="4"/>
  <c r="H180" i="4"/>
  <c r="G180" i="4"/>
  <c r="H179" i="4"/>
  <c r="G179" i="4"/>
  <c r="H178" i="4"/>
  <c r="G178" i="4"/>
  <c r="H177" i="4"/>
  <c r="G177" i="4"/>
  <c r="H176" i="4"/>
  <c r="G176" i="4"/>
  <c r="H175" i="4"/>
  <c r="G175" i="4"/>
  <c r="H174" i="4"/>
  <c r="G174" i="4"/>
  <c r="H173" i="4"/>
  <c r="G173" i="4"/>
  <c r="H172" i="4"/>
  <c r="G172" i="4"/>
  <c r="H171" i="4"/>
  <c r="G171" i="4"/>
  <c r="H170" i="4"/>
  <c r="G170" i="4"/>
  <c r="H169" i="4"/>
  <c r="G169" i="4"/>
  <c r="H168" i="4"/>
  <c r="G168" i="4"/>
  <c r="H167" i="4"/>
  <c r="G167" i="4"/>
  <c r="H166" i="4"/>
  <c r="G166" i="4"/>
  <c r="H165" i="4"/>
  <c r="G165" i="4"/>
  <c r="H164" i="4"/>
  <c r="G164" i="4"/>
  <c r="H163" i="4"/>
  <c r="G163" i="4"/>
  <c r="H162" i="4"/>
  <c r="G162" i="4"/>
  <c r="H161" i="4"/>
  <c r="G161" i="4"/>
  <c r="H160" i="4"/>
  <c r="G160" i="4"/>
  <c r="H159" i="4"/>
  <c r="G159" i="4"/>
  <c r="H158" i="4"/>
  <c r="G158" i="4"/>
  <c r="H157" i="4"/>
  <c r="G157" i="4"/>
  <c r="H156" i="4"/>
  <c r="G156" i="4"/>
  <c r="H155" i="4"/>
  <c r="G155" i="4"/>
  <c r="H154" i="4"/>
  <c r="G154" i="4"/>
  <c r="H153" i="4"/>
  <c r="G153" i="4"/>
  <c r="H152" i="4"/>
  <c r="G152" i="4"/>
  <c r="H151" i="4"/>
  <c r="G151" i="4"/>
  <c r="H150" i="4"/>
  <c r="G150" i="4"/>
  <c r="H149" i="4"/>
  <c r="G149" i="4"/>
  <c r="H148" i="4"/>
  <c r="G148" i="4"/>
  <c r="H147" i="4"/>
  <c r="G147" i="4"/>
  <c r="H146" i="4"/>
  <c r="G146" i="4"/>
  <c r="H145" i="4"/>
  <c r="G145" i="4"/>
  <c r="H144" i="4"/>
  <c r="G144" i="4"/>
  <c r="H143" i="4"/>
  <c r="G143" i="4"/>
  <c r="H142" i="4"/>
  <c r="G142" i="4"/>
  <c r="H141" i="4"/>
  <c r="G141" i="4"/>
  <c r="H140" i="4"/>
  <c r="G140" i="4"/>
  <c r="H139" i="4"/>
  <c r="G139" i="4"/>
  <c r="H138" i="4"/>
  <c r="G138" i="4"/>
  <c r="H137" i="4"/>
  <c r="G137" i="4"/>
  <c r="H136" i="4"/>
  <c r="G136" i="4"/>
  <c r="H135" i="4"/>
  <c r="G135" i="4"/>
  <c r="H134" i="4"/>
  <c r="G134" i="4"/>
  <c r="H133" i="4"/>
  <c r="G133" i="4"/>
  <c r="H132" i="4"/>
  <c r="G132" i="4"/>
  <c r="H131" i="4"/>
  <c r="G131" i="4"/>
  <c r="H130" i="4"/>
  <c r="G130" i="4"/>
  <c r="H129" i="4"/>
  <c r="G129" i="4"/>
  <c r="H128" i="4"/>
  <c r="G128" i="4"/>
  <c r="H127" i="4"/>
  <c r="G127" i="4"/>
  <c r="H126" i="4"/>
  <c r="G126" i="4"/>
  <c r="H125" i="4"/>
  <c r="G125" i="4"/>
  <c r="H124" i="4"/>
  <c r="G124" i="4"/>
  <c r="H123" i="4"/>
  <c r="G123" i="4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D38" i="11" l="1"/>
  <c r="I242" i="5"/>
  <c r="I230" i="5"/>
  <c r="I240" i="5"/>
  <c r="I232" i="5"/>
  <c r="I236" i="5"/>
  <c r="D33" i="11"/>
  <c r="I224" i="5"/>
  <c r="I218" i="5"/>
  <c r="I220" i="5"/>
  <c r="D31" i="11"/>
  <c r="I214" i="5"/>
  <c r="D28" i="11"/>
  <c r="D26" i="11"/>
  <c r="I204" i="5"/>
  <c r="I202" i="5"/>
  <c r="I186" i="5"/>
  <c r="D19" i="11"/>
  <c r="I182" i="5"/>
  <c r="I188" i="5"/>
  <c r="E7" i="13"/>
  <c r="F177" i="5"/>
  <c r="H177" i="5" s="1"/>
  <c r="I217" i="5"/>
  <c r="F174" i="5"/>
  <c r="H174" i="5" s="1"/>
  <c r="I174" i="5" s="1"/>
  <c r="F173" i="5"/>
  <c r="H173" i="5" s="1"/>
  <c r="I173" i="5" s="1"/>
  <c r="F164" i="5"/>
  <c r="H164" i="5" s="1"/>
  <c r="I164" i="5" s="1"/>
  <c r="F167" i="5"/>
  <c r="H167" i="5" s="1"/>
  <c r="I167" i="5" s="1"/>
  <c r="F170" i="5"/>
  <c r="H170" i="5" s="1"/>
  <c r="I170" i="5" s="1"/>
  <c r="I1063" i="5"/>
  <c r="I885" i="5"/>
  <c r="I943" i="5"/>
  <c r="I991" i="5"/>
  <c r="I1029" i="5"/>
  <c r="F168" i="5"/>
  <c r="H168" i="5" s="1"/>
  <c r="I168" i="5" s="1"/>
  <c r="F172" i="5"/>
  <c r="H172" i="5" s="1"/>
  <c r="I172" i="5" s="1"/>
  <c r="F169" i="5"/>
  <c r="H169" i="5" s="1"/>
  <c r="I169" i="5" s="1"/>
  <c r="I987" i="5"/>
  <c r="F176" i="5"/>
  <c r="H176" i="5" s="1"/>
  <c r="I176" i="5" s="1"/>
  <c r="F171" i="5"/>
  <c r="H171" i="5" s="1"/>
  <c r="I171" i="5" s="1"/>
  <c r="F165" i="5"/>
  <c r="H165" i="5" s="1"/>
  <c r="I165" i="5" s="1"/>
  <c r="F175" i="5"/>
  <c r="H175" i="5" s="1"/>
  <c r="I175" i="5" s="1"/>
  <c r="F166" i="5"/>
  <c r="H166" i="5" s="1"/>
  <c r="I166" i="5" s="1"/>
  <c r="I495" i="5"/>
  <c r="I891" i="5"/>
  <c r="I1060" i="5"/>
  <c r="I1039" i="5"/>
  <c r="I1051" i="5"/>
  <c r="I895" i="5"/>
  <c r="I189" i="5"/>
  <c r="I1133" i="5"/>
  <c r="I853" i="5"/>
  <c r="I903" i="5"/>
  <c r="I949" i="5"/>
  <c r="I1087" i="5"/>
  <c r="I855" i="5"/>
  <c r="I917" i="5"/>
  <c r="I973" i="5"/>
  <c r="I998" i="5"/>
  <c r="I47" i="5"/>
  <c r="I96" i="5"/>
  <c r="I1059" i="5"/>
  <c r="F117" i="5"/>
  <c r="H117" i="5" s="1"/>
  <c r="I117" i="5" s="1"/>
  <c r="I870" i="5"/>
  <c r="I907" i="5"/>
  <c r="I333" i="5"/>
  <c r="I927" i="5"/>
  <c r="I1056" i="5"/>
  <c r="I984" i="5"/>
  <c r="I1009" i="5"/>
  <c r="I1036" i="5"/>
  <c r="I457" i="5"/>
  <c r="I1021" i="5"/>
  <c r="I433" i="5"/>
  <c r="I1046" i="5"/>
  <c r="I1064" i="5"/>
  <c r="F156" i="5"/>
  <c r="H156" i="5" s="1"/>
  <c r="I156" i="5" s="1"/>
  <c r="I1143" i="5"/>
  <c r="F158" i="5"/>
  <c r="H158" i="5" s="1"/>
  <c r="I158" i="5" s="1"/>
  <c r="F147" i="5"/>
  <c r="H147" i="5" s="1"/>
  <c r="I147" i="5" s="1"/>
  <c r="F163" i="5"/>
  <c r="H163" i="5" s="1"/>
  <c r="I163" i="5" s="1"/>
  <c r="F148" i="5"/>
  <c r="H148" i="5" s="1"/>
  <c r="I148" i="5" s="1"/>
  <c r="F162" i="5"/>
  <c r="H162" i="5" s="1"/>
  <c r="I162" i="5" s="1"/>
  <c r="F6" i="5"/>
  <c r="H6" i="5" s="1"/>
  <c r="I6" i="5" s="1"/>
  <c r="F24" i="5"/>
  <c r="H24" i="5" s="1"/>
  <c r="I24" i="5" s="1"/>
  <c r="I45" i="5"/>
  <c r="F151" i="5"/>
  <c r="H151" i="5" s="1"/>
  <c r="I151" i="5" s="1"/>
  <c r="I1035" i="5"/>
  <c r="I73" i="5"/>
  <c r="F152" i="5"/>
  <c r="H152" i="5" s="1"/>
  <c r="I152" i="5" s="1"/>
  <c r="F145" i="5"/>
  <c r="H145" i="5" s="1"/>
  <c r="I145" i="5" s="1"/>
  <c r="F153" i="5"/>
  <c r="H153" i="5" s="1"/>
  <c r="I153" i="5" s="1"/>
  <c r="I177" i="5"/>
  <c r="F13" i="5"/>
  <c r="H13" i="5" s="1"/>
  <c r="I13" i="5" s="1"/>
  <c r="F18" i="5"/>
  <c r="H18" i="5" s="1"/>
  <c r="I18" i="5" s="1"/>
  <c r="I72" i="5"/>
  <c r="F159" i="5"/>
  <c r="H159" i="5" s="1"/>
  <c r="I159" i="5" s="1"/>
  <c r="I877" i="5"/>
  <c r="I1008" i="5"/>
  <c r="I1047" i="5"/>
  <c r="I59" i="5"/>
  <c r="I868" i="5"/>
  <c r="I901" i="5"/>
  <c r="I904" i="5"/>
  <c r="I988" i="5"/>
  <c r="I185" i="5"/>
  <c r="I429" i="5"/>
  <c r="I1014" i="5"/>
  <c r="I81" i="5"/>
  <c r="I84" i="5"/>
  <c r="F160" i="5"/>
  <c r="H160" i="5" s="1"/>
  <c r="I160" i="5" s="1"/>
  <c r="I71" i="5"/>
  <c r="I108" i="5"/>
  <c r="F149" i="5"/>
  <c r="H149" i="5" s="1"/>
  <c r="I149" i="5" s="1"/>
  <c r="I365" i="5"/>
  <c r="I962" i="5"/>
  <c r="F11" i="5"/>
  <c r="H11" i="5" s="1"/>
  <c r="I11" i="5" s="1"/>
  <c r="F12" i="5"/>
  <c r="H12" i="5" s="1"/>
  <c r="I12" i="5" s="1"/>
  <c r="I317" i="5"/>
  <c r="I62" i="5"/>
  <c r="I76" i="5"/>
  <c r="I936" i="5"/>
  <c r="I939" i="5"/>
  <c r="I1002" i="5"/>
  <c r="I293" i="5"/>
  <c r="I892" i="5"/>
  <c r="I1038" i="5"/>
  <c r="I1142" i="5"/>
  <c r="F115" i="5"/>
  <c r="H115" i="5" s="1"/>
  <c r="I115" i="5" s="1"/>
  <c r="F146" i="5"/>
  <c r="H146" i="5" s="1"/>
  <c r="I146" i="5" s="1"/>
  <c r="F161" i="5"/>
  <c r="H161" i="5" s="1"/>
  <c r="I161" i="5" s="1"/>
  <c r="I341" i="5"/>
  <c r="I854" i="5"/>
  <c r="I857" i="5"/>
  <c r="I920" i="5"/>
  <c r="I926" i="5"/>
  <c r="I965" i="5"/>
  <c r="I974" i="5"/>
  <c r="I1084" i="5"/>
  <c r="F4" i="5"/>
  <c r="H4" i="5" s="1"/>
  <c r="I4" i="5" s="1"/>
  <c r="F30" i="5"/>
  <c r="H30" i="5" s="1"/>
  <c r="I30" i="5" s="1"/>
  <c r="F25" i="5"/>
  <c r="H25" i="5" s="1"/>
  <c r="I25" i="5" s="1"/>
  <c r="I42" i="5"/>
  <c r="I269" i="5"/>
  <c r="I1118" i="5"/>
  <c r="I1121" i="5"/>
  <c r="F144" i="5"/>
  <c r="H144" i="5" s="1"/>
  <c r="I144" i="5" s="1"/>
  <c r="I191" i="5"/>
  <c r="I859" i="5"/>
  <c r="I1074" i="5"/>
  <c r="I1080" i="5"/>
  <c r="I1083" i="5"/>
  <c r="I1107" i="5"/>
  <c r="I1110" i="5"/>
  <c r="I1146" i="5"/>
  <c r="I75" i="5"/>
  <c r="F157" i="5"/>
  <c r="H157" i="5" s="1"/>
  <c r="I157" i="5" s="1"/>
  <c r="I68" i="5"/>
  <c r="I453" i="5"/>
  <c r="I894" i="5"/>
  <c r="I977" i="5"/>
  <c r="I986" i="5"/>
  <c r="I1070" i="5"/>
  <c r="F90" i="5"/>
  <c r="H90" i="5" s="1"/>
  <c r="I90" i="5" s="1"/>
  <c r="F9" i="5"/>
  <c r="H9" i="5" s="1"/>
  <c r="I9" i="5" s="1"/>
  <c r="I405" i="5"/>
  <c r="I916" i="5"/>
  <c r="I919" i="5"/>
  <c r="I963" i="5"/>
  <c r="I1015" i="5"/>
  <c r="I1117" i="5"/>
  <c r="I1132" i="5"/>
  <c r="I858" i="5"/>
  <c r="I1024" i="5"/>
  <c r="F114" i="5"/>
  <c r="H114" i="5" s="1"/>
  <c r="F155" i="5"/>
  <c r="H155" i="5" s="1"/>
  <c r="I155" i="5" s="1"/>
  <c r="I385" i="5"/>
  <c r="I902" i="5"/>
  <c r="I940" i="5"/>
  <c r="I975" i="5"/>
  <c r="I1001" i="5"/>
  <c r="I1045" i="5"/>
  <c r="I1048" i="5"/>
  <c r="I1106" i="5"/>
  <c r="I1109" i="5"/>
  <c r="I1123" i="5"/>
  <c r="F154" i="5"/>
  <c r="H154" i="5" s="1"/>
  <c r="I154" i="5" s="1"/>
  <c r="I389" i="5"/>
  <c r="I930" i="5"/>
  <c r="I1111" i="5"/>
  <c r="I1136" i="5"/>
  <c r="I1093" i="5"/>
  <c r="I1119" i="5"/>
  <c r="F7" i="5"/>
  <c r="H7" i="5" s="1"/>
  <c r="I7" i="5" s="1"/>
  <c r="F28" i="5"/>
  <c r="H28" i="5" s="1"/>
  <c r="I28" i="5" s="1"/>
  <c r="I44" i="5"/>
  <c r="I60" i="5"/>
  <c r="I67" i="5"/>
  <c r="F150" i="5"/>
  <c r="H150" i="5" s="1"/>
  <c r="I150" i="5" s="1"/>
  <c r="I183" i="5"/>
  <c r="I313" i="5"/>
  <c r="I864" i="5"/>
  <c r="I867" i="5"/>
  <c r="I893" i="5"/>
  <c r="I953" i="5"/>
  <c r="I967" i="5"/>
  <c r="I992" i="5"/>
  <c r="I1037" i="5"/>
  <c r="I1096" i="5"/>
  <c r="I1105" i="5"/>
  <c r="D29" i="11"/>
  <c r="C21" i="16"/>
  <c r="K4" i="6"/>
  <c r="K9" i="6"/>
  <c r="K8" i="6"/>
  <c r="K6" i="6"/>
  <c r="K5" i="6"/>
  <c r="D27" i="11"/>
  <c r="I83" i="5"/>
  <c r="F119" i="5"/>
  <c r="H119" i="5" s="1"/>
  <c r="I119" i="5" s="1"/>
  <c r="F10" i="5"/>
  <c r="H10" i="5" s="1"/>
  <c r="I10" i="5" s="1"/>
  <c r="C6" i="16"/>
  <c r="I52" i="5"/>
  <c r="I66" i="5"/>
  <c r="F88" i="5"/>
  <c r="H88" i="5" s="1"/>
  <c r="I88" i="5" s="1"/>
  <c r="F92" i="5"/>
  <c r="H92" i="5" s="1"/>
  <c r="I92" i="5" s="1"/>
  <c r="D22" i="11"/>
  <c r="F125" i="5"/>
  <c r="H125" i="5" s="1"/>
  <c r="I125" i="5" s="1"/>
  <c r="I213" i="5"/>
  <c r="I261" i="5"/>
  <c r="I357" i="5"/>
  <c r="F14" i="5"/>
  <c r="H14" i="5" s="1"/>
  <c r="I14" i="5" s="1"/>
  <c r="F89" i="5"/>
  <c r="H89" i="5" s="1"/>
  <c r="I89" i="5" s="1"/>
  <c r="F95" i="5"/>
  <c r="H95" i="5" s="1"/>
  <c r="I95" i="5" s="1"/>
  <c r="F120" i="5"/>
  <c r="H120" i="5" s="1"/>
  <c r="I120" i="5" s="1"/>
  <c r="F140" i="5"/>
  <c r="H140" i="5" s="1"/>
  <c r="I140" i="5" s="1"/>
  <c r="F86" i="5"/>
  <c r="H86" i="5" s="1"/>
  <c r="I86" i="5" s="1"/>
  <c r="D10" i="11"/>
  <c r="B4" i="13"/>
  <c r="D5" i="11"/>
  <c r="F5" i="11" s="1"/>
  <c r="F23" i="5"/>
  <c r="H23" i="5" s="1"/>
  <c r="I23" i="5" s="1"/>
  <c r="F26" i="5"/>
  <c r="H26" i="5" s="1"/>
  <c r="I26" i="5" s="1"/>
  <c r="I112" i="5"/>
  <c r="F135" i="5"/>
  <c r="H135" i="5" s="1"/>
  <c r="I135" i="5" s="1"/>
  <c r="I337" i="5"/>
  <c r="F17" i="5"/>
  <c r="H17" i="5" s="1"/>
  <c r="I17" i="5" s="1"/>
  <c r="D14" i="11"/>
  <c r="F35" i="5"/>
  <c r="H35" i="5" s="1"/>
  <c r="I35" i="5" s="1"/>
  <c r="C6" i="13"/>
  <c r="I285" i="5"/>
  <c r="I381" i="5"/>
  <c r="F16" i="5"/>
  <c r="H16" i="5" s="1"/>
  <c r="I16" i="5" s="1"/>
  <c r="F29" i="5"/>
  <c r="H29" i="5" s="1"/>
  <c r="I29" i="5" s="1"/>
  <c r="F93" i="5"/>
  <c r="H93" i="5" s="1"/>
  <c r="I93" i="5" s="1"/>
  <c r="F122" i="5"/>
  <c r="H122" i="5" s="1"/>
  <c r="I122" i="5" s="1"/>
  <c r="F131" i="5"/>
  <c r="H131" i="5" s="1"/>
  <c r="I131" i="5" s="1"/>
  <c r="F5" i="5"/>
  <c r="H5" i="5" s="1"/>
  <c r="I5" i="5" s="1"/>
  <c r="F102" i="5"/>
  <c r="H102" i="5" s="1"/>
  <c r="I102" i="5" s="1"/>
  <c r="F8" i="5"/>
  <c r="H8" i="5" s="1"/>
  <c r="I8" i="5" s="1"/>
  <c r="D25" i="11"/>
  <c r="I265" i="5"/>
  <c r="I361" i="5"/>
  <c r="I409" i="5"/>
  <c r="F20" i="5"/>
  <c r="H20" i="5" s="1"/>
  <c r="I20" i="5" s="1"/>
  <c r="F32" i="5"/>
  <c r="H32" i="5" s="1"/>
  <c r="I32" i="5" s="1"/>
  <c r="B6" i="13"/>
  <c r="F116" i="5"/>
  <c r="H116" i="5" s="1"/>
  <c r="I116" i="5" s="1"/>
  <c r="C38" i="14"/>
  <c r="C20" i="14"/>
  <c r="C5" i="14"/>
  <c r="C30" i="14"/>
  <c r="C15" i="14"/>
  <c r="C40" i="14"/>
  <c r="C25" i="14"/>
  <c r="C7" i="14"/>
  <c r="C35" i="14"/>
  <c r="C17" i="14"/>
  <c r="C6" i="17"/>
  <c r="C37" i="14"/>
  <c r="C19" i="14"/>
  <c r="C5" i="16"/>
  <c r="C34" i="14"/>
  <c r="C16" i="14"/>
  <c r="C36" i="14"/>
  <c r="C18" i="14"/>
  <c r="C39" i="14"/>
  <c r="C6" i="14"/>
  <c r="D6" i="11"/>
  <c r="C27" i="14"/>
  <c r="C26" i="14"/>
  <c r="C29" i="14"/>
  <c r="C14" i="14"/>
  <c r="C24" i="14"/>
  <c r="C10" i="14"/>
  <c r="C28" i="14"/>
  <c r="C8" i="14"/>
  <c r="C4" i="14"/>
  <c r="B3" i="13"/>
  <c r="C9" i="14"/>
  <c r="F139" i="5"/>
  <c r="H139" i="5" s="1"/>
  <c r="I139" i="5" s="1"/>
  <c r="F127" i="5"/>
  <c r="H127" i="5" s="1"/>
  <c r="I127" i="5" s="1"/>
  <c r="F105" i="5"/>
  <c r="H105" i="5" s="1"/>
  <c r="I105" i="5" s="1"/>
  <c r="F113" i="5"/>
  <c r="H113" i="5" s="1"/>
  <c r="I113" i="5" s="1"/>
  <c r="F136" i="5"/>
  <c r="H136" i="5" s="1"/>
  <c r="I136" i="5" s="1"/>
  <c r="F132" i="5"/>
  <c r="H132" i="5" s="1"/>
  <c r="I132" i="5" s="1"/>
  <c r="F126" i="5"/>
  <c r="H126" i="5" s="1"/>
  <c r="I126" i="5" s="1"/>
  <c r="F91" i="5"/>
  <c r="H91" i="5" s="1"/>
  <c r="I91" i="5" s="1"/>
  <c r="F38" i="5"/>
  <c r="H38" i="5" s="1"/>
  <c r="I38" i="5" s="1"/>
  <c r="F137" i="5"/>
  <c r="H137" i="5" s="1"/>
  <c r="I137" i="5" s="1"/>
  <c r="F134" i="5"/>
  <c r="H134" i="5" s="1"/>
  <c r="I134" i="5" s="1"/>
  <c r="F128" i="5"/>
  <c r="H128" i="5" s="1"/>
  <c r="I128" i="5" s="1"/>
  <c r="F143" i="5"/>
  <c r="H143" i="5" s="1"/>
  <c r="I143" i="5" s="1"/>
  <c r="F121" i="5"/>
  <c r="H121" i="5" s="1"/>
  <c r="I121" i="5" s="1"/>
  <c r="F103" i="5"/>
  <c r="H103" i="5" s="1"/>
  <c r="I103" i="5" s="1"/>
  <c r="F106" i="5"/>
  <c r="H106" i="5" s="1"/>
  <c r="I106" i="5" s="1"/>
  <c r="I237" i="5"/>
  <c r="I309" i="5"/>
  <c r="I497" i="5"/>
  <c r="F22" i="5"/>
  <c r="H22" i="5" s="1"/>
  <c r="I22" i="5" s="1"/>
  <c r="I61" i="5"/>
  <c r="F36" i="5"/>
  <c r="H36" i="5" s="1"/>
  <c r="I36" i="5" s="1"/>
  <c r="F37" i="5"/>
  <c r="H37" i="5" s="1"/>
  <c r="I37" i="5" s="1"/>
  <c r="F40" i="5"/>
  <c r="H40" i="5" s="1"/>
  <c r="I40" i="5" s="1"/>
  <c r="I79" i="5"/>
  <c r="I477" i="5"/>
  <c r="D8" i="11"/>
  <c r="D10" i="6"/>
  <c r="D26" i="6"/>
  <c r="D8" i="6"/>
  <c r="D31" i="6"/>
  <c r="D20" i="6"/>
  <c r="D35" i="6"/>
  <c r="D19" i="6"/>
  <c r="D4" i="6"/>
  <c r="D37" i="6"/>
  <c r="D9" i="6"/>
  <c r="D13" i="6"/>
  <c r="D11" i="6"/>
  <c r="D3" i="6"/>
  <c r="F3" i="5"/>
  <c r="H3" i="5" s="1"/>
  <c r="E26" i="6"/>
  <c r="E14" i="6"/>
  <c r="E8" i="6"/>
  <c r="E10" i="6"/>
  <c r="E5" i="6"/>
  <c r="E35" i="6"/>
  <c r="E19" i="6"/>
  <c r="E7" i="6"/>
  <c r="E9" i="6"/>
  <c r="E4" i="6"/>
  <c r="E37" i="6"/>
  <c r="E31" i="6"/>
  <c r="E16" i="6"/>
  <c r="E20" i="6"/>
  <c r="E28" i="6"/>
  <c r="F33" i="5"/>
  <c r="H33" i="5" s="1"/>
  <c r="I33" i="5" s="1"/>
  <c r="F87" i="5"/>
  <c r="H87" i="5" s="1"/>
  <c r="I87" i="5" s="1"/>
  <c r="F104" i="5"/>
  <c r="H104" i="5" s="1"/>
  <c r="I104" i="5" s="1"/>
  <c r="F107" i="5"/>
  <c r="H107" i="5" s="1"/>
  <c r="I107" i="5" s="1"/>
  <c r="I289" i="5"/>
  <c r="F19" i="5"/>
  <c r="H19" i="5" s="1"/>
  <c r="I19" i="5" s="1"/>
  <c r="F21" i="5"/>
  <c r="H21" i="5" s="1"/>
  <c r="F31" i="5"/>
  <c r="H31" i="5" s="1"/>
  <c r="I31" i="5" s="1"/>
  <c r="I74" i="5"/>
  <c r="D16" i="11"/>
  <c r="D17" i="11"/>
  <c r="I100" i="5"/>
  <c r="D20" i="11"/>
  <c r="I114" i="5"/>
  <c r="F118" i="5"/>
  <c r="H118" i="5" s="1"/>
  <c r="I118" i="5" s="1"/>
  <c r="D13" i="11"/>
  <c r="F94" i="5"/>
  <c r="H94" i="5" s="1"/>
  <c r="I94" i="5" s="1"/>
  <c r="F129" i="5"/>
  <c r="H129" i="5" s="1"/>
  <c r="I129" i="5" s="1"/>
  <c r="I193" i="5"/>
  <c r="I241" i="5"/>
  <c r="I209" i="5"/>
  <c r="I233" i="5"/>
  <c r="I257" i="5"/>
  <c r="I281" i="5"/>
  <c r="I305" i="5"/>
  <c r="I329" i="5"/>
  <c r="I353" i="5"/>
  <c r="I377" i="5"/>
  <c r="I401" i="5"/>
  <c r="I425" i="5"/>
  <c r="I449" i="5"/>
  <c r="I469" i="5"/>
  <c r="F39" i="5"/>
  <c r="H39" i="5" s="1"/>
  <c r="I39" i="5" s="1"/>
  <c r="I55" i="5"/>
  <c r="D9" i="11"/>
  <c r="D24" i="11"/>
  <c r="F142" i="5"/>
  <c r="H142" i="5" s="1"/>
  <c r="I142" i="5" s="1"/>
  <c r="I207" i="5"/>
  <c r="I231" i="5"/>
  <c r="I255" i="5"/>
  <c r="I279" i="5"/>
  <c r="I303" i="5"/>
  <c r="I327" i="5"/>
  <c r="I351" i="5"/>
  <c r="I375" i="5"/>
  <c r="I399" i="5"/>
  <c r="I423" i="5"/>
  <c r="I447" i="5"/>
  <c r="I493" i="5"/>
  <c r="F124" i="5"/>
  <c r="H124" i="5" s="1"/>
  <c r="I124" i="5" s="1"/>
  <c r="I205" i="5"/>
  <c r="I229" i="5"/>
  <c r="I253" i="5"/>
  <c r="I277" i="5"/>
  <c r="I301" i="5"/>
  <c r="I325" i="5"/>
  <c r="I349" i="5"/>
  <c r="I373" i="5"/>
  <c r="I397" i="5"/>
  <c r="I421" i="5"/>
  <c r="I445" i="5"/>
  <c r="F130" i="5"/>
  <c r="H130" i="5" s="1"/>
  <c r="I130" i="5" s="1"/>
  <c r="F133" i="5"/>
  <c r="H133" i="5" s="1"/>
  <c r="I133" i="5" s="1"/>
  <c r="I203" i="5"/>
  <c r="I227" i="5"/>
  <c r="I275" i="5"/>
  <c r="I299" i="5"/>
  <c r="I323" i="5"/>
  <c r="I347" i="5"/>
  <c r="I371" i="5"/>
  <c r="I395" i="5"/>
  <c r="I419" i="5"/>
  <c r="I443" i="5"/>
  <c r="I201" i="5"/>
  <c r="I225" i="5"/>
  <c r="I273" i="5"/>
  <c r="I297" i="5"/>
  <c r="I321" i="5"/>
  <c r="I345" i="5"/>
  <c r="I369" i="5"/>
  <c r="I393" i="5"/>
  <c r="I417" i="5"/>
  <c r="I441" i="5"/>
  <c r="F15" i="5"/>
  <c r="H15" i="5" s="1"/>
  <c r="I15" i="5" s="1"/>
  <c r="F34" i="5"/>
  <c r="H34" i="5" s="1"/>
  <c r="I34" i="5" s="1"/>
  <c r="I43" i="5"/>
  <c r="I48" i="5"/>
  <c r="I56" i="5"/>
  <c r="D21" i="11"/>
  <c r="I199" i="5"/>
  <c r="I223" i="5"/>
  <c r="I247" i="5"/>
  <c r="I271" i="5"/>
  <c r="I295" i="5"/>
  <c r="I319" i="5"/>
  <c r="I343" i="5"/>
  <c r="I367" i="5"/>
  <c r="I391" i="5"/>
  <c r="I415" i="5"/>
  <c r="I439" i="5"/>
  <c r="B5" i="13"/>
  <c r="D12" i="11"/>
  <c r="D15" i="11"/>
  <c r="I197" i="5"/>
  <c r="I221" i="5"/>
  <c r="I245" i="5"/>
  <c r="I413" i="5"/>
  <c r="I437" i="5"/>
  <c r="I461" i="5"/>
  <c r="I195" i="5"/>
  <c r="I219" i="5"/>
  <c r="I243" i="5"/>
  <c r="I267" i="5"/>
  <c r="I291" i="5"/>
  <c r="I315" i="5"/>
  <c r="I339" i="5"/>
  <c r="I363" i="5"/>
  <c r="I387" i="5"/>
  <c r="I411" i="5"/>
  <c r="I435" i="5"/>
  <c r="I459" i="5"/>
  <c r="I485" i="5"/>
  <c r="F141" i="5"/>
  <c r="H141" i="5" s="1"/>
  <c r="I141" i="5" s="1"/>
  <c r="I215" i="5"/>
  <c r="I239" i="5"/>
  <c r="I263" i="5"/>
  <c r="I287" i="5"/>
  <c r="I311" i="5"/>
  <c r="I335" i="5"/>
  <c r="I359" i="5"/>
  <c r="I383" i="5"/>
  <c r="I407" i="5"/>
  <c r="I431" i="5"/>
  <c r="I455" i="5"/>
  <c r="I471" i="5"/>
  <c r="F123" i="5"/>
  <c r="H123" i="5" s="1"/>
  <c r="I123" i="5" s="1"/>
  <c r="F138" i="5"/>
  <c r="H138" i="5" s="1"/>
  <c r="I138" i="5" s="1"/>
  <c r="I211" i="5"/>
  <c r="I235" i="5"/>
  <c r="I259" i="5"/>
  <c r="I283" i="5"/>
  <c r="I307" i="5"/>
  <c r="I331" i="5"/>
  <c r="I355" i="5"/>
  <c r="I379" i="5"/>
  <c r="I403" i="5"/>
  <c r="I427" i="5"/>
  <c r="I451" i="5"/>
  <c r="I483" i="5"/>
  <c r="I865" i="5"/>
  <c r="I929" i="5"/>
  <c r="I880" i="5"/>
  <c r="I905" i="5"/>
  <c r="I964" i="5"/>
  <c r="I942" i="5"/>
  <c r="I937" i="5"/>
  <c r="I890" i="5"/>
  <c r="I976" i="5"/>
  <c r="I1058" i="5"/>
  <c r="I1097" i="5"/>
  <c r="I979" i="5"/>
  <c r="I1086" i="5"/>
  <c r="I1128" i="5"/>
  <c r="I1131" i="5"/>
  <c r="I881" i="5"/>
  <c r="I889" i="5"/>
  <c r="I952" i="5"/>
  <c r="I966" i="5"/>
  <c r="I1081" i="5"/>
  <c r="E22" i="6"/>
  <c r="D22" i="6"/>
  <c r="I1073" i="5"/>
  <c r="I1049" i="5"/>
  <c r="I912" i="5"/>
  <c r="I915" i="5"/>
  <c r="I1011" i="5"/>
  <c r="I1025" i="5"/>
  <c r="I1033" i="5"/>
  <c r="I1130" i="5"/>
  <c r="I1120" i="5"/>
  <c r="E13" i="6"/>
  <c r="D16" i="6"/>
  <c r="E23" i="6"/>
  <c r="D23" i="6"/>
  <c r="D17" i="6"/>
  <c r="I914" i="5"/>
  <c r="I1012" i="5"/>
  <c r="I1034" i="5"/>
  <c r="I1135" i="5"/>
  <c r="E11" i="6"/>
  <c r="E17" i="6"/>
  <c r="K3" i="6"/>
  <c r="E21" i="6"/>
  <c r="E27" i="6"/>
  <c r="E29" i="6"/>
  <c r="E34" i="6"/>
  <c r="I878" i="5"/>
  <c r="I925" i="5"/>
  <c r="I950" i="5"/>
  <c r="I997" i="5"/>
  <c r="I1022" i="5"/>
  <c r="I1069" i="5"/>
  <c r="I1094" i="5"/>
  <c r="I1141" i="5"/>
  <c r="D29" i="6"/>
  <c r="D34" i="6"/>
  <c r="I856" i="5"/>
  <c r="I866" i="5"/>
  <c r="I888" i="5"/>
  <c r="I913" i="5"/>
  <c r="I928" i="5"/>
  <c r="I938" i="5"/>
  <c r="I960" i="5"/>
  <c r="I985" i="5"/>
  <c r="I1000" i="5"/>
  <c r="I1010" i="5"/>
  <c r="I1032" i="5"/>
  <c r="I1057" i="5"/>
  <c r="I1072" i="5"/>
  <c r="I1082" i="5"/>
  <c r="I1104" i="5"/>
  <c r="I1129" i="5"/>
  <c r="I1144" i="5"/>
  <c r="D25" i="6"/>
  <c r="E30" i="6"/>
  <c r="H8" i="12"/>
  <c r="D5" i="6"/>
  <c r="K7" i="6"/>
  <c r="E25" i="6"/>
  <c r="E3" i="6"/>
  <c r="D14" i="6"/>
  <c r="E18" i="6"/>
  <c r="E6" i="6"/>
  <c r="D6" i="6"/>
  <c r="D32" i="6"/>
  <c r="E36" i="6"/>
  <c r="F27" i="5"/>
  <c r="H27" i="5" s="1"/>
  <c r="I27" i="5" s="1"/>
  <c r="D7" i="6"/>
  <c r="E12" i="6"/>
  <c r="E24" i="6"/>
  <c r="D28" i="6"/>
  <c r="E32" i="6"/>
  <c r="E15" i="6"/>
  <c r="E33" i="6"/>
  <c r="C15" i="17"/>
  <c r="D12" i="6"/>
  <c r="D15" i="6"/>
  <c r="D18" i="6"/>
  <c r="D21" i="6"/>
  <c r="D24" i="6"/>
  <c r="D27" i="6"/>
  <c r="D30" i="6"/>
  <c r="D33" i="6"/>
  <c r="D36" i="6"/>
  <c r="C7" i="17" l="1"/>
  <c r="C9" i="17" s="1"/>
  <c r="C23" i="17" s="1"/>
  <c r="F14" i="6"/>
  <c r="F9" i="6"/>
  <c r="F11" i="6"/>
  <c r="F35" i="6"/>
  <c r="F23" i="6"/>
  <c r="F13" i="6"/>
  <c r="F28" i="6"/>
  <c r="F17" i="6"/>
  <c r="F4" i="6"/>
  <c r="C7" i="16"/>
  <c r="F3" i="6"/>
  <c r="F10" i="6"/>
  <c r="F25" i="6"/>
  <c r="F8" i="6"/>
  <c r="F30" i="6"/>
  <c r="F22" i="6"/>
  <c r="F7" i="6"/>
  <c r="F34" i="6"/>
  <c r="F19" i="6"/>
  <c r="F29" i="6"/>
  <c r="F5" i="6"/>
  <c r="F32" i="6"/>
  <c r="B7" i="13"/>
  <c r="F39" i="14"/>
  <c r="F7" i="14"/>
  <c r="F36" i="6"/>
  <c r="F6" i="6"/>
  <c r="F4" i="14"/>
  <c r="F18" i="14"/>
  <c r="F25" i="14"/>
  <c r="F26" i="6"/>
  <c r="F8" i="14"/>
  <c r="F36" i="14"/>
  <c r="F40" i="14"/>
  <c r="C4" i="13"/>
  <c r="D4" i="13" s="1"/>
  <c r="F4" i="13" s="1"/>
  <c r="D24" i="19"/>
  <c r="D26" i="19" s="1"/>
  <c r="C8" i="17"/>
  <c r="F16" i="6"/>
  <c r="F24" i="6"/>
  <c r="F28" i="14"/>
  <c r="F16" i="14"/>
  <c r="F15" i="14"/>
  <c r="F27" i="6"/>
  <c r="F37" i="6"/>
  <c r="F10" i="14"/>
  <c r="F34" i="14"/>
  <c r="F30" i="14"/>
  <c r="F18" i="6"/>
  <c r="F24" i="14"/>
  <c r="C19" i="17"/>
  <c r="C20" i="17" s="1"/>
  <c r="C24" i="17" s="1"/>
  <c r="F5" i="14"/>
  <c r="F14" i="14"/>
  <c r="F20" i="14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C5" i="13"/>
  <c r="D5" i="13" s="1"/>
  <c r="F5" i="13" s="1"/>
  <c r="I21" i="5"/>
  <c r="F33" i="6"/>
  <c r="F21" i="6"/>
  <c r="F15" i="6"/>
  <c r="F29" i="14"/>
  <c r="F19" i="14"/>
  <c r="F38" i="14"/>
  <c r="D30" i="14"/>
  <c r="E30" i="14" s="1"/>
  <c r="D15" i="14"/>
  <c r="E15" i="14" s="1"/>
  <c r="D40" i="14"/>
  <c r="E40" i="14" s="1"/>
  <c r="D25" i="14"/>
  <c r="E25" i="14" s="1"/>
  <c r="D7" i="14"/>
  <c r="E7" i="14" s="1"/>
  <c r="D35" i="14"/>
  <c r="E35" i="14" s="1"/>
  <c r="D17" i="14"/>
  <c r="E17" i="14" s="1"/>
  <c r="C10" i="16"/>
  <c r="C12" i="16" s="1"/>
  <c r="D27" i="14"/>
  <c r="E27" i="14" s="1"/>
  <c r="D9" i="14"/>
  <c r="E9" i="14" s="1"/>
  <c r="D37" i="14"/>
  <c r="E37" i="14" s="1"/>
  <c r="D29" i="14"/>
  <c r="E29" i="14" s="1"/>
  <c r="D14" i="14"/>
  <c r="E14" i="14" s="1"/>
  <c r="D26" i="14"/>
  <c r="E26" i="14" s="1"/>
  <c r="D8" i="14"/>
  <c r="E8" i="14" s="1"/>
  <c r="D39" i="14"/>
  <c r="E39" i="14" s="1"/>
  <c r="D34" i="14"/>
  <c r="E34" i="14" s="1"/>
  <c r="D20" i="14"/>
  <c r="E20" i="14" s="1"/>
  <c r="D38" i="14"/>
  <c r="E38" i="14" s="1"/>
  <c r="D5" i="14"/>
  <c r="E5" i="14" s="1"/>
  <c r="D19" i="14"/>
  <c r="E19" i="14" s="1"/>
  <c r="D36" i="14"/>
  <c r="E36" i="14" s="1"/>
  <c r="D16" i="14"/>
  <c r="E16" i="14" s="1"/>
  <c r="D24" i="14"/>
  <c r="E24" i="14" s="1"/>
  <c r="D6" i="14"/>
  <c r="E6" i="14" s="1"/>
  <c r="D10" i="14"/>
  <c r="E10" i="14" s="1"/>
  <c r="D28" i="14"/>
  <c r="E28" i="14" s="1"/>
  <c r="D18" i="14"/>
  <c r="E18" i="14" s="1"/>
  <c r="D4" i="14"/>
  <c r="E4" i="14" s="1"/>
  <c r="C3" i="13"/>
  <c r="I3" i="5"/>
  <c r="F12" i="6"/>
  <c r="F20" i="6"/>
  <c r="F26" i="14"/>
  <c r="F37" i="14"/>
  <c r="F31" i="6"/>
  <c r="F27" i="14"/>
  <c r="D6" i="13"/>
  <c r="F6" i="13" s="1"/>
  <c r="F17" i="14"/>
  <c r="F9" i="14"/>
  <c r="F6" i="14"/>
  <c r="F35" i="14"/>
  <c r="C14" i="16" l="1"/>
  <c r="C23" i="16" s="1"/>
  <c r="C7" i="13"/>
  <c r="C25" i="17"/>
  <c r="D3" i="13"/>
  <c r="D7" i="13" l="1"/>
  <c r="F3" i="13"/>
  <c r="F7" i="13" s="1"/>
</calcChain>
</file>

<file path=xl/sharedStrings.xml><?xml version="1.0" encoding="utf-8"?>
<sst xmlns="http://schemas.openxmlformats.org/spreadsheetml/2006/main" count="1492" uniqueCount="354">
  <si>
    <t>GMGL ACCOUNTS – REPORT CONTROLS</t>
  </si>
  <si>
    <t>Report Period</t>
  </si>
  <si>
    <t>Start Date</t>
  </si>
  <si>
    <t>End Date</t>
  </si>
  <si>
    <t>NOTE: ALL SALES ARE CASH ONLY. No credit sales permitted.</t>
  </si>
  <si>
    <t>Opening Bank Balance (GHS)</t>
  </si>
  <si>
    <t>SETUP – REFERENCE DATA</t>
  </si>
  <si>
    <t>All Shops</t>
  </si>
  <si>
    <t>All Products</t>
  </si>
  <si>
    <t>Trading Shops</t>
  </si>
  <si>
    <t>Egg Products</t>
  </si>
  <si>
    <t>Farm Cost Items</t>
  </si>
  <si>
    <t>Akatsi Feed</t>
  </si>
  <si>
    <t>LM</t>
  </si>
  <si>
    <t>Extra Large</t>
  </si>
  <si>
    <t>Maize</t>
  </si>
  <si>
    <t>Abor Feed</t>
  </si>
  <si>
    <t>GM</t>
  </si>
  <si>
    <t>Large</t>
  </si>
  <si>
    <t>Soya</t>
  </si>
  <si>
    <t>Mobile Shop</t>
  </si>
  <si>
    <t>CM</t>
  </si>
  <si>
    <t>Medium</t>
  </si>
  <si>
    <t>Concentrate</t>
  </si>
  <si>
    <t>Egg Shop</t>
  </si>
  <si>
    <t>BS</t>
  </si>
  <si>
    <t>Small</t>
  </si>
  <si>
    <t>GMG</t>
  </si>
  <si>
    <t>Hend 5%</t>
  </si>
  <si>
    <t>Pullet 1</t>
  </si>
  <si>
    <t>Shell</t>
  </si>
  <si>
    <t>Pullet 2</t>
  </si>
  <si>
    <t>Salary</t>
  </si>
  <si>
    <t>Crates</t>
  </si>
  <si>
    <t>Broken</t>
  </si>
  <si>
    <t>Transport</t>
  </si>
  <si>
    <t>Medication</t>
  </si>
  <si>
    <t>Utilities</t>
  </si>
  <si>
    <t>Other</t>
  </si>
  <si>
    <t>CHART OF ACCOUNTS</t>
  </si>
  <si>
    <t>Code</t>
  </si>
  <si>
    <t>Account Name</t>
  </si>
  <si>
    <t>Type</t>
  </si>
  <si>
    <t>Notes</t>
  </si>
  <si>
    <t>1000</t>
  </si>
  <si>
    <t>Cash at Bank</t>
  </si>
  <si>
    <t>Asset</t>
  </si>
  <si>
    <t>Auto from Sales</t>
  </si>
  <si>
    <t>1010</t>
  </si>
  <si>
    <t>Trading Stock</t>
  </si>
  <si>
    <t>From Stock Summary</t>
  </si>
  <si>
    <t>1020</t>
  </si>
  <si>
    <t>Egg Stock</t>
  </si>
  <si>
    <t>1030</t>
  </si>
  <si>
    <t>Feed Ingredients</t>
  </si>
  <si>
    <t>From Feed Inventory</t>
  </si>
  <si>
    <t>2000</t>
  </si>
  <si>
    <t>Accounts Payable</t>
  </si>
  <si>
    <t>Liability</t>
  </si>
  <si>
    <t>Supplier invoices</t>
  </si>
  <si>
    <t>2010</t>
  </si>
  <si>
    <t>Accrued Expenses</t>
  </si>
  <si>
    <t>Expenses not yet paid</t>
  </si>
  <si>
    <t>3000</t>
  </si>
  <si>
    <t>Owner Equity</t>
  </si>
  <si>
    <t>Equity</t>
  </si>
  <si>
    <t>Opening capital</t>
  </si>
  <si>
    <t>3010</t>
  </si>
  <si>
    <t>Retained Earnings</t>
  </si>
  <si>
    <t>Accumulated net profit</t>
  </si>
  <si>
    <t>4000</t>
  </si>
  <si>
    <t>Trading Shop Sales</t>
  </si>
  <si>
    <t>Income</t>
  </si>
  <si>
    <t>Cash only</t>
  </si>
  <si>
    <t>4010</t>
  </si>
  <si>
    <t>Egg Shop Sales</t>
  </si>
  <si>
    <t>5000</t>
  </si>
  <si>
    <t>Cost of Goods Sold</t>
  </si>
  <si>
    <t>Cost of Sales</t>
  </si>
  <si>
    <t>Auto from Sales Log</t>
  </si>
  <si>
    <t>5010</t>
  </si>
  <si>
    <t>Farm Production Costs</t>
  </si>
  <si>
    <t>From Farm Costs</t>
  </si>
  <si>
    <t>6000</t>
  </si>
  <si>
    <t>Shop Rent</t>
  </si>
  <si>
    <t>Expense</t>
  </si>
  <si>
    <t>From Shop Expenses</t>
  </si>
  <si>
    <t>6010</t>
  </si>
  <si>
    <t>Shop Salaries</t>
  </si>
  <si>
    <t>6020</t>
  </si>
  <si>
    <t>6030</t>
  </si>
  <si>
    <t>6040</t>
  </si>
  <si>
    <t>6050</t>
  </si>
  <si>
    <t>Other Expenses</t>
  </si>
  <si>
    <t>Miscellaneous</t>
  </si>
  <si>
    <t>PURCHASES LOG</t>
  </si>
  <si>
    <t>Date</t>
  </si>
  <si>
    <t>Supplier</t>
  </si>
  <si>
    <t>Shop</t>
  </si>
  <si>
    <t>Product</t>
  </si>
  <si>
    <t>Qty Purchased</t>
  </si>
  <si>
    <t>Unit Cost (GHS)</t>
  </si>
  <si>
    <t>Total Cost (GHS)</t>
  </si>
  <si>
    <t>Key</t>
  </si>
  <si>
    <t>Sankofa</t>
  </si>
  <si>
    <t>GMGL</t>
  </si>
  <si>
    <t>Layer Conc 20%</t>
  </si>
  <si>
    <t>Ashama Timber Market</t>
  </si>
  <si>
    <t>Intraco Conc 5%</t>
  </si>
  <si>
    <t>CASH SALES ONLY – No credit sales. Every sale settled immediately in cash.</t>
  </si>
  <si>
    <t>Qty Sold</t>
  </si>
  <si>
    <t>Selling Price (GHS)</t>
  </si>
  <si>
    <t>Cost Price (Auto)</t>
  </si>
  <si>
    <t>Total Sales (GHS)</t>
  </si>
  <si>
    <t>Gross Profit (GHS)</t>
  </si>
  <si>
    <t>Payment</t>
  </si>
  <si>
    <t>Cash</t>
  </si>
  <si>
    <t>TRADING SHOPS STOCK</t>
  </si>
  <si>
    <t>EGG SHOP STOCK</t>
  </si>
  <si>
    <t>Received (Purchases)</t>
  </si>
  <si>
    <t>Sold</t>
  </si>
  <si>
    <t>Remaining</t>
  </si>
  <si>
    <t>Received from Farm</t>
  </si>
  <si>
    <t>Sold by Egg Shop</t>
  </si>
  <si>
    <t>FARM COSTS LOG</t>
  </si>
  <si>
    <t>Cost Item</t>
  </si>
  <si>
    <t>Category</t>
  </si>
  <si>
    <t>Amount (GHS)</t>
  </si>
  <si>
    <t>Feed</t>
  </si>
  <si>
    <t>Grinding</t>
  </si>
  <si>
    <t>EGG TRANSFERS – FARM TO EGG SHOP</t>
  </si>
  <si>
    <t>Qty Sent to Egg Shop</t>
  </si>
  <si>
    <t>SHOP EXPENSES LOG</t>
  </si>
  <si>
    <t>Expense Type</t>
  </si>
  <si>
    <t>Rent</t>
  </si>
  <si>
    <t>PAYROLL – STAFF WAGES</t>
  </si>
  <si>
    <t>STAFF REGISTER</t>
  </si>
  <si>
    <t>Staff Name</t>
  </si>
  <si>
    <t>Role</t>
  </si>
  <si>
    <t>Location</t>
  </si>
  <si>
    <t>Monthly Salary (GHS)</t>
  </si>
  <si>
    <t>Payment Date</t>
  </si>
  <si>
    <t>Payment Method</t>
  </si>
  <si>
    <t>Shop Staff</t>
  </si>
  <si>
    <t>Farm Labour</t>
  </si>
  <si>
    <t>Enter farm wages here</t>
  </si>
  <si>
    <t>MONTHLY PAYROLL SUMMARY</t>
  </si>
  <si>
    <t>Total Monthly Wages (GHS)</t>
  </si>
  <si>
    <t>Annual Wages Estimate (GHS)</t>
  </si>
  <si>
    <t>Wages Paid This Period (from Shop Expenses)</t>
  </si>
  <si>
    <t>CASH &amp; BANK LEDGER</t>
  </si>
  <si>
    <t>RULE: All cash sales are automatically banked on the day of sale.</t>
  </si>
  <si>
    <t>Description</t>
  </si>
  <si>
    <t>Money In – Sales (Auto)</t>
  </si>
  <si>
    <t>Money Out – Expenses (Auto)</t>
  </si>
  <si>
    <t>Running Balance (GHS)</t>
  </si>
  <si>
    <t>FEED INVENTORY TRACKER</t>
  </si>
  <si>
    <t>Ingredient</t>
  </si>
  <si>
    <t>Unit</t>
  </si>
  <si>
    <t>Opening Stock</t>
  </si>
  <si>
    <t>Purchased (Qty)</t>
  </si>
  <si>
    <t>Used (Qty)</t>
  </si>
  <si>
    <t>Closing Stock</t>
  </si>
  <si>
    <t>Stock Value (GHS)</t>
  </si>
  <si>
    <t>Bag (50kg)</t>
  </si>
  <si>
    <t>Bag (25kg)</t>
  </si>
  <si>
    <t>Bag</t>
  </si>
  <si>
    <t>TOTAL STOCK VALUE</t>
  </si>
  <si>
    <t>SHOP PROFITABILITY</t>
  </si>
  <si>
    <t>Sales (GHS)</t>
  </si>
  <si>
    <t>Cost of Sales (GHS)</t>
  </si>
  <si>
    <t>Direct Expenses (GHS)</t>
  </si>
  <si>
    <t>Net Profit (GHS)</t>
  </si>
  <si>
    <t>TOTAL</t>
  </si>
  <si>
    <t>MONTHLY SALES SUMMARY</t>
  </si>
  <si>
    <t>Margin %</t>
  </si>
  <si>
    <t>LOAN REGISTER</t>
  </si>
  <si>
    <t>Enter each loan below. Monthly Payment = Principal + Interest combined repayment.</t>
  </si>
  <si>
    <t>Loan #</t>
  </si>
  <si>
    <t>Lender / Description</t>
  </si>
  <si>
    <t>Original Amount (GHS)</t>
  </si>
  <si>
    <t>Interest Rate (% p.a.)</t>
  </si>
  <si>
    <t>Term (Months)</t>
  </si>
  <si>
    <t>Monthly Payment (GHS)</t>
  </si>
  <si>
    <t>Outstanding Balance (GHS)</t>
  </si>
  <si>
    <t>SUMMARY</t>
  </si>
  <si>
    <t>Total Monthly Repayments (GHS)</t>
  </si>
  <si>
    <t>Total Outstanding Balance (GHS)</t>
  </si>
  <si>
    <t>Number of Active Loans</t>
  </si>
  <si>
    <t>HOW TO USE:
• Fill in Lender, Start Date, Original Amount, Interest Rate, Term and Monthly Payment for each loan.
• Update 'Outstanding Balance' each month after making a repayment.
• The Balance Sheet 'Loans Payable' pulls from Total Outstanding Balance (H19).
• Record each monthly repayment in Shop Expenses with category 'Loan Repayment'.</t>
  </si>
  <si>
    <t>INCOME STATEMENT</t>
  </si>
  <si>
    <t>Period:</t>
  </si>
  <si>
    <t>REVENUE (All Cash Sales)</t>
  </si>
  <si>
    <t xml:space="preserve">    Trading Shops Sales</t>
  </si>
  <si>
    <t xml:space="preserve">    Egg Shop Sales</t>
  </si>
  <si>
    <t>TOTAL REVENUE</t>
  </si>
  <si>
    <t>COST OF SALES</t>
  </si>
  <si>
    <t xml:space="preserve">    Cost of Goods Sold</t>
  </si>
  <si>
    <t xml:space="preserve">    Farm Production Costs</t>
  </si>
  <si>
    <t>TOTAL COST OF SALES</t>
  </si>
  <si>
    <t>GROSS PROFIT</t>
  </si>
  <si>
    <t>OPERATING EXPENSES</t>
  </si>
  <si>
    <t xml:space="preserve">    Shop Rent</t>
  </si>
  <si>
    <t xml:space="preserve">    Shop Salaries</t>
  </si>
  <si>
    <t xml:space="preserve">    Other Expenses</t>
  </si>
  <si>
    <t xml:space="preserve">    Loan Repayments</t>
  </si>
  <si>
    <t>TOTAL EXPENSES</t>
  </si>
  <si>
    <t>NET PROFIT / (LOSS)</t>
  </si>
  <si>
    <t>BALANCE SHEET</t>
  </si>
  <si>
    <t>As at:</t>
  </si>
  <si>
    <t>ASSETS</t>
  </si>
  <si>
    <t>Current Assets</t>
  </si>
  <si>
    <t xml:space="preserve">    Cash at Bank</t>
  </si>
  <si>
    <t xml:space="preserve">    Trading Stock (at cost)</t>
  </si>
  <si>
    <t xml:space="preserve">    Feed Ingredients Stock</t>
  </si>
  <si>
    <t>TOTAL CURRENT ASSETS</t>
  </si>
  <si>
    <t>LIABILITIES</t>
  </si>
  <si>
    <t xml:space="preserve">    Accounts Payable</t>
  </si>
  <si>
    <t xml:space="preserve">    Accrued Expenses</t>
  </si>
  <si>
    <t xml:space="preserve">    Loans Payable</t>
  </si>
  <si>
    <t>TOTAL LIABILITIES</t>
  </si>
  <si>
    <t>EQUITY</t>
  </si>
  <si>
    <t xml:space="preserve">    Owner's Equity (Opening Capital)</t>
  </si>
  <si>
    <t xml:space="preserve">    Net Profit for Period</t>
  </si>
  <si>
    <t>TOTAL EQUITY</t>
  </si>
  <si>
    <t>BALANCE CHECK</t>
  </si>
  <si>
    <t>Total Assets</t>
  </si>
  <si>
    <t>Total Liabilities + Equity</t>
  </si>
  <si>
    <t>Difference (should be 0)</t>
  </si>
  <si>
    <t>DAILY SALES BY SHOP</t>
  </si>
  <si>
    <t>DAILY BUSINESS VALUATION</t>
  </si>
  <si>
    <t>Valuation Date</t>
  </si>
  <si>
    <t>CASH &amp; BANK</t>
  </si>
  <si>
    <t>Value (GHS)</t>
  </si>
  <si>
    <t>Cash in Hand</t>
  </si>
  <si>
    <t>Bank Balance</t>
  </si>
  <si>
    <t>TRADING STOCK (at cost)</t>
  </si>
  <si>
    <t>Akatsi Feed - LM</t>
  </si>
  <si>
    <t>Akatsi Feed - GM</t>
  </si>
  <si>
    <t>Akatsi Feed - CM</t>
  </si>
  <si>
    <t>Akatsi Feed - Crates</t>
  </si>
  <si>
    <t>Abor Feed - LM</t>
  </si>
  <si>
    <t>Abor Feed - GM</t>
  </si>
  <si>
    <t>Mobile Shop - LM</t>
  </si>
  <si>
    <t>Mobile Shop - GM</t>
  </si>
  <si>
    <t>EGG STOCK (at farm cost)</t>
  </si>
  <si>
    <t>Extra Large eggs</t>
  </si>
  <si>
    <t>Large eggs</t>
  </si>
  <si>
    <t>Medium eggs</t>
  </si>
  <si>
    <t>Small eggs</t>
  </si>
  <si>
    <t>Pullet 1 eggs</t>
  </si>
  <si>
    <t>Pullet 2 eggs</t>
  </si>
  <si>
    <t>FEED INGREDIENTS</t>
  </si>
  <si>
    <t>Total Feed Stock Value (auto)</t>
  </si>
  <si>
    <t>TOTAL BUSINESS VALUE (GHS)</t>
  </si>
  <si>
    <t>BUSINESS GROWTH TRACKER</t>
  </si>
  <si>
    <t>Month</t>
  </si>
  <si>
    <t>Total Sales</t>
  </si>
  <si>
    <t>Total Costs</t>
  </si>
  <si>
    <t>Gross Profit</t>
  </si>
  <si>
    <t>Total Expenses</t>
  </si>
  <si>
    <t>Net Profit</t>
  </si>
  <si>
    <t>Business Value</t>
  </si>
  <si>
    <t>MoM Sales Change</t>
  </si>
  <si>
    <t>MoM Profit Change</t>
  </si>
  <si>
    <t>Sales Growth %</t>
  </si>
  <si>
    <t>Status</t>
  </si>
  <si>
    <t>Apr 2026</t>
  </si>
  <si>
    <t>—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</si>
  <si>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</si>
  <si>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</si>
  <si>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</si>
  <si>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</si>
  <si>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</si>
  <si>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</si>
  <si>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</si>
  <si>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</si>
  <si>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</si>
  <si>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</si>
  <si>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</si>
  <si>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ANNUAL TOTAL / AVG</t>
  </si>
  <si>
    <t>BUSINESS SCORECARD (Latest Month)</t>
  </si>
  <si>
    <t>Best Month (Sales)</t>
  </si>
  <si>
    <t>Best Month (Profit)</t>
  </si>
  <si>
    <t>Worst Month (Profit)</t>
  </si>
  <si>
    <t>Avg Monthly Sales</t>
  </si>
  <si>
    <t>Avg Monthly Profit</t>
  </si>
  <si>
    <t>Avg Profit Margin %</t>
  </si>
  <si>
    <t>Overall Trend</t>
  </si>
  <si>
    <t>GMGL ACCOUNTS – USER GUIDE</t>
  </si>
  <si>
    <t>SYSTEM RULES</t>
  </si>
  <si>
    <t>1. NO CREDIT SALES</t>
  </si>
  <si>
    <t>All sales must be cash. Payment column is always Cash.</t>
  </si>
  <si>
    <t>2. CASH AUTO-BANKED</t>
  </si>
  <si>
    <t>Every sale in Sales Log auto-appears in Cash &amp; Bank Money In.</t>
  </si>
  <si>
    <t>3. CONTROL PANEL</t>
  </si>
  <si>
    <t>Set Start/End Date (row 3) and Opening Bank Balance (row 7).</t>
  </si>
  <si>
    <t>4. COST PRICE AUTO</t>
  </si>
  <si>
    <t>Sales Log col F auto-looks up Unit Cost from Purchases col F via Key match.</t>
  </si>
  <si>
    <t>5. PROTECTED SHEETS</t>
  </si>
  <si>
    <t>Report sheets are locked. Password: gmgl2026</t>
  </si>
  <si>
    <t>SHEET GUIDE</t>
  </si>
  <si>
    <t>Control Panel</t>
  </si>
  <si>
    <t>Set report dates and opening bank balance here first.</t>
  </si>
  <si>
    <t>Setup</t>
  </si>
  <si>
    <t>Reference lists for shops, products, farm cost items.</t>
  </si>
  <si>
    <t>Chart of Accounts</t>
  </si>
  <si>
    <t>Full account code list.</t>
  </si>
  <si>
    <t>Purchases</t>
  </si>
  <si>
    <t>Record all stock purchases. Supplier column is yellow (fill in).</t>
  </si>
  <si>
    <t>Sales Log</t>
  </si>
  <si>
    <t>Record all cash sales. Cost price auto-fills from Purchases.</t>
  </si>
  <si>
    <t>Farm Costs</t>
  </si>
  <si>
    <t>Record all farm production costs with category.</t>
  </si>
  <si>
    <t>Egg Transfers</t>
  </si>
  <si>
    <t>Record eggs sent from farm to Egg Shop.</t>
  </si>
  <si>
    <t>Shop Expenses</t>
  </si>
  <si>
    <t>Record shop-level expenses (Rent, Salary, etc.).</t>
  </si>
  <si>
    <t>Payroll</t>
  </si>
  <si>
    <t>Staff register and monthly wage summary.</t>
  </si>
  <si>
    <t>Cash &amp; Bank</t>
  </si>
  <si>
    <t>Enter dates in col A. Money In and Out auto-fill.</t>
  </si>
  <si>
    <t>Stock Summary</t>
  </si>
  <si>
    <t>Received vs Sold vs Remaining for the report period.</t>
  </si>
  <si>
    <t>Feed Inventory</t>
  </si>
  <si>
    <t>Manual entry of feed ingredient quantities and values.</t>
  </si>
  <si>
    <t>Shop Profitability</t>
  </si>
  <si>
    <t>Sales, Cost, Gross Profit, Expenses, Net Profit per shop.</t>
  </si>
  <si>
    <t>Monthly Summary</t>
  </si>
  <si>
    <t>Product-level sales breakdown per shop.</t>
  </si>
  <si>
    <t>Income Statement</t>
  </si>
  <si>
    <t>Full P&amp;L: Revenue to Net Profit.</t>
  </si>
  <si>
    <t>Balance Sheet</t>
  </si>
  <si>
    <t>Assets, Liabilities, Equity as at report end date.</t>
  </si>
  <si>
    <t>Daily Shop Sales</t>
  </si>
  <si>
    <t>Enter dates in col A to see daily sales per shop.</t>
  </si>
  <si>
    <t>Daily Valuation</t>
  </si>
  <si>
    <t>Manual snapshot of business value at any date.</t>
  </si>
  <si>
    <t>Growth Tracker</t>
  </si>
  <si>
    <t>Month-by-month performance history.</t>
  </si>
  <si>
    <t>Sogakofe</t>
  </si>
  <si>
    <t>Elinam</t>
  </si>
  <si>
    <t>Bless</t>
  </si>
  <si>
    <t>Dela</t>
  </si>
  <si>
    <t>Lucky</t>
  </si>
  <si>
    <t>Mawufemor</t>
  </si>
  <si>
    <t>Gifty</t>
  </si>
  <si>
    <t>Wise</t>
  </si>
  <si>
    <t>Elikplim</t>
  </si>
  <si>
    <t>Gameli</t>
  </si>
  <si>
    <t>Kwaku</t>
  </si>
  <si>
    <t>Accounts</t>
  </si>
  <si>
    <t>Adidome Farm</t>
  </si>
  <si>
    <t>Akuave 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</si>
</sst>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m\-yyyy"/>
    <numFmt numFmtId="165" formatCode="0.0&quot;%&quot;"/>
    <numFmt numFmtId="166" formatCode="0.00&quot;%&quot;"/>
  </numFmts>
  <fonts count="18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b/>
      <sz val="11"/>
      <color rgb="FF1F4E79"/>
      <name val="Calibri"/>
    </font>
    <font>
      <b/>
      <sz val="10"/>
      <color rgb="FFC00000"/>
      <name val="Calibri"/>
    </font>
    <font>
      <b/>
      <sz val="12"/>
      <color rgb="FFFFFFFF"/>
      <name val="Calibri"/>
    </font>
    <font>
      <b/>
      <sz val="10"/>
      <color rgb="FF1F4E79"/>
      <name val="Calibri"/>
    </font>
    <font>
      <b/>
      <sz val="11"/>
      <color rgb="FFFFFFFF"/>
      <name val="Calibri"/>
    </font>
    <font>
      <sz val="11"/>
      <name val="Calibri"/>
    </font>
    <font>
      <b/>
      <sz val="12"/>
      <name val="Calibri"/>
    </font>
    <font>
      <b/>
      <sz val="13"/>
      <color rgb="FF375623"/>
      <name val="Calibri"/>
    </font>
    <font>
      <b/>
      <sz val="13"/>
      <name val="Calibri"/>
    </font>
    <font>
      <b/>
      <sz val="11"/>
      <color rgb="FFC00000"/>
      <name val="Calibri"/>
    </font>
    <font>
      <b/>
      <sz val="14"/>
      <color rgb="FFFFFFFF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i/>
      <sz val="9"/>
      <color rgb="FF595959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1" xfId="0" applyFill="1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4" fontId="2" fillId="8" borderId="0" xfId="0" applyNumberFormat="1" applyFont="1" applyFill="1"/>
    <xf numFmtId="4" fontId="0" fillId="0" borderId="0" xfId="0" applyNumberFormat="1"/>
    <xf numFmtId="4" fontId="0" fillId="8" borderId="0" xfId="0" applyNumberFormat="1" applyFill="1"/>
    <xf numFmtId="4" fontId="2" fillId="0" borderId="0" xfId="0" applyNumberFormat="1" applyFont="1"/>
    <xf numFmtId="0" fontId="8" fillId="0" borderId="0" xfId="0" applyFont="1"/>
    <xf numFmtId="0" fontId="9" fillId="0" borderId="0" xfId="0" applyFont="1"/>
    <xf numFmtId="4" fontId="9" fillId="8" borderId="0" xfId="0" applyNumberFormat="1" applyFont="1" applyFill="1"/>
    <xf numFmtId="0" fontId="10" fillId="0" borderId="0" xfId="0" applyFont="1"/>
    <xf numFmtId="4" fontId="11" fillId="8" borderId="0" xfId="0" applyNumberFormat="1" applyFont="1" applyFill="1"/>
    <xf numFmtId="0" fontId="12" fillId="0" borderId="0" xfId="0" applyFont="1"/>
    <xf numFmtId="4" fontId="12" fillId="0" borderId="0" xfId="0" applyNumberFormat="1" applyFont="1"/>
    <xf numFmtId="0" fontId="3" fillId="5" borderId="0" xfId="0" applyFont="1" applyFill="1"/>
    <xf numFmtId="0" fontId="0" fillId="3" borderId="3" xfId="0" applyFill="1" applyBorder="1"/>
    <xf numFmtId="0" fontId="6" fillId="5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0" borderId="2" xfId="0" applyBorder="1"/>
    <xf numFmtId="14" fontId="0" fillId="0" borderId="0" xfId="0" applyNumberFormat="1"/>
    <xf numFmtId="164" fontId="0" fillId="3" borderId="1" xfId="0" applyNumberFormat="1" applyFill="1" applyBorder="1"/>
    <xf numFmtId="164" fontId="0" fillId="0" borderId="2" xfId="0" applyNumberFormat="1" applyBorder="1"/>
    <xf numFmtId="164" fontId="0" fillId="0" borderId="0" xfId="0" applyNumberFormat="1"/>
    <xf numFmtId="165" fontId="0" fillId="0" borderId="0" xfId="0" applyNumberFormat="1"/>
    <xf numFmtId="0" fontId="0" fillId="0" borderId="0" xfId="0"/>
    <xf numFmtId="0" fontId="7" fillId="4" borderId="0" xfId="0" applyFont="1" applyFill="1" applyAlignment="1">
      <alignment horizontal="center" vertical="center"/>
    </xf>
    <xf numFmtId="0" fontId="15" fillId="11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164" fontId="0" fillId="0" borderId="4" xfId="0" applyNumberFormat="1" applyBorder="1" applyAlignment="1">
      <alignment horizontal="left"/>
    </xf>
    <xf numFmtId="4" fontId="0" fillId="0" borderId="4" xfId="0" applyNumberFormat="1" applyBorder="1" applyAlignment="1">
      <alignment horizontal="left"/>
    </xf>
    <xf numFmtId="166" fontId="0" fillId="0" borderId="4" xfId="0" applyNumberFormat="1" applyBorder="1" applyAlignment="1">
      <alignment horizontal="left"/>
    </xf>
    <xf numFmtId="1" fontId="0" fillId="0" borderId="4" xfId="0" applyNumberFormat="1" applyBorder="1" applyAlignment="1">
      <alignment horizontal="left"/>
    </xf>
    <xf numFmtId="4" fontId="16" fillId="13" borderId="4" xfId="0" applyNumberFormat="1" applyFont="1" applyFill="1" applyBorder="1"/>
    <xf numFmtId="1" fontId="16" fillId="13" borderId="4" xfId="0" applyNumberFormat="1" applyFont="1" applyFill="1" applyBorder="1"/>
    <xf numFmtId="0" fontId="0" fillId="0" borderId="0" xfId="0"/>
    <xf numFmtId="164" fontId="0" fillId="0" borderId="4" xfId="0" applyNumberFormat="1" applyBorder="1"/>
    <xf numFmtId="0" fontId="0" fillId="0" borderId="4" xfId="0" applyBorder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/>
    <xf numFmtId="0" fontId="5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7" fillId="0" borderId="0" xfId="0" applyFont="1" applyAlignment="1">
      <alignment vertical="top" wrapText="1"/>
    </xf>
    <xf numFmtId="0" fontId="15" fillId="12" borderId="0" xfId="0" applyFont="1" applyFill="1" applyAlignment="1">
      <alignment horizontal="center"/>
    </xf>
    <xf numFmtId="0" fontId="13" fillId="11" borderId="0" xfId="0" applyFont="1" applyFill="1" applyAlignment="1">
      <alignment horizontal="center" vertical="center"/>
    </xf>
    <xf numFmtId="0" fontId="16" fillId="13" borderId="4" xfId="0" applyFont="1" applyFill="1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14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C7"/>
  <sheetViews>
    <sheetView zoomScale="119" workbookViewId="0">
      <selection activeCell="A17" sqref="A17"/>
    </sheetView>
  </sheetViews>
  <sheetFormatPr defaultRowHeight="14.4"/>
  <cols>
    <col min="1" max="1" width="28" style="30" customWidth="1"/>
    <col min="2" max="3" width="18" style="30" customWidth="1"/>
  </cols>
  <sheetData>
    <row r="1" spans="1:3" ht="28.05" customHeight="1">
      <c r="A1" s="45" t="s">
        <v>0</v>
      </c>
      <c r="B1" s="46"/>
      <c r="C1" s="46"/>
    </row>
    <row r="2" spans="1:3">
      <c r="A2" s="1" t="s">
        <v>1</v>
      </c>
      <c r="B2" s="2" t="s">
        <v>2</v>
      </c>
      <c r="C2" s="2" t="s">
        <v>3</v>
      </c>
    </row>
    <row r="3" spans="1:3">
      <c r="B3" s="26">
        <v>46113</v>
      </c>
      <c r="C3" s="26">
        <v>46173</v>
      </c>
    </row>
    <row r="5" spans="1:3">
      <c r="A5" s="47" t="s">
        <v>4</v>
      </c>
      <c r="B5" s="46"/>
      <c r="C5" s="46"/>
    </row>
    <row r="7" spans="1:3">
      <c r="A7" s="1" t="s">
        <v>5</v>
      </c>
      <c r="B7" s="3">
        <v>1000</v>
      </c>
    </row>
  </sheetData>
  <mergeCells count="2">
    <mergeCell ref="A1:C1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J16"/>
  <sheetViews>
    <sheetView workbookViewId="0">
      <selection activeCell="A6" sqref="A6"/>
    </sheetView>
  </sheetViews>
  <sheetFormatPr defaultRowHeight="14.4"/>
  <cols>
    <col min="1" max="1" width="14" style="30" customWidth="1"/>
    <col min="2" max="2" width="2" style="30" customWidth="1"/>
    <col min="3" max="3" width="14" style="30" customWidth="1"/>
    <col min="4" max="4" width="2" style="30" customWidth="1"/>
    <col min="5" max="5" width="14" style="30" customWidth="1"/>
    <col min="6" max="6" width="2" style="30" customWidth="1"/>
    <col min="7" max="7" width="14" style="30" customWidth="1"/>
    <col min="8" max="9" width="2" style="30" customWidth="1"/>
    <col min="10" max="10" width="14" style="30" customWidth="1"/>
  </cols>
  <sheetData>
    <row r="1" spans="1:10" ht="15.6" customHeight="1">
      <c r="A1" s="48" t="s">
        <v>6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4" t="s">
        <v>7</v>
      </c>
      <c r="C2" s="4" t="s">
        <v>8</v>
      </c>
      <c r="E2" s="4" t="s">
        <v>9</v>
      </c>
      <c r="G2" s="4" t="s">
        <v>10</v>
      </c>
      <c r="J2" s="4" t="s">
        <v>11</v>
      </c>
    </row>
    <row r="3" spans="1:10">
      <c r="A3" t="s">
        <v>12</v>
      </c>
      <c r="C3" t="s">
        <v>13</v>
      </c>
      <c r="E3" t="s">
        <v>12</v>
      </c>
      <c r="G3" t="s">
        <v>14</v>
      </c>
      <c r="J3" t="s">
        <v>15</v>
      </c>
    </row>
    <row r="4" spans="1:10">
      <c r="A4" t="s">
        <v>16</v>
      </c>
      <c r="C4" t="s">
        <v>17</v>
      </c>
      <c r="E4" t="s">
        <v>16</v>
      </c>
      <c r="G4" t="s">
        <v>18</v>
      </c>
      <c r="J4" t="s">
        <v>19</v>
      </c>
    </row>
    <row r="5" spans="1:10">
      <c r="A5" t="s">
        <v>20</v>
      </c>
      <c r="C5" t="s">
        <v>21</v>
      </c>
      <c r="E5" t="s">
        <v>20</v>
      </c>
      <c r="G5" t="s">
        <v>22</v>
      </c>
      <c r="J5" t="s">
        <v>23</v>
      </c>
    </row>
    <row r="6" spans="1:10">
      <c r="A6" t="s">
        <v>24</v>
      </c>
      <c r="C6" t="s">
        <v>25</v>
      </c>
      <c r="G6" t="s">
        <v>26</v>
      </c>
      <c r="J6" t="s">
        <v>27</v>
      </c>
    </row>
    <row r="7" spans="1:10">
      <c r="C7" t="s">
        <v>28</v>
      </c>
      <c r="G7" t="s">
        <v>29</v>
      </c>
      <c r="J7" t="s">
        <v>30</v>
      </c>
    </row>
    <row r="8" spans="1:10">
      <c r="C8" t="s">
        <v>27</v>
      </c>
      <c r="G8" t="s">
        <v>31</v>
      </c>
      <c r="J8" t="s">
        <v>32</v>
      </c>
    </row>
    <row r="9" spans="1:10">
      <c r="C9" t="s">
        <v>33</v>
      </c>
      <c r="G9" t="s">
        <v>34</v>
      </c>
      <c r="J9" t="s">
        <v>35</v>
      </c>
    </row>
    <row r="10" spans="1:10">
      <c r="C10" t="s">
        <v>14</v>
      </c>
      <c r="J10" t="s">
        <v>36</v>
      </c>
    </row>
    <row r="11" spans="1:10">
      <c r="C11" t="s">
        <v>18</v>
      </c>
      <c r="J11" t="s">
        <v>37</v>
      </c>
    </row>
    <row r="12" spans="1:10">
      <c r="C12" t="s">
        <v>22</v>
      </c>
      <c r="J12" t="s">
        <v>38</v>
      </c>
    </row>
    <row r="13" spans="1:10">
      <c r="C13" t="s">
        <v>26</v>
      </c>
    </row>
    <row r="14" spans="1:10">
      <c r="C14" t="s">
        <v>29</v>
      </c>
    </row>
    <row r="15" spans="1:10">
      <c r="C15" t="s">
        <v>31</v>
      </c>
    </row>
    <row r="16" spans="1:10">
      <c r="C16" t="s">
        <v>34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D20"/>
  <sheetViews>
    <sheetView workbookViewId="0">
      <selection sqref="A1:D1"/>
    </sheetView>
  </sheetViews>
  <sheetFormatPr defaultRowHeight="14.4"/>
  <cols>
    <col min="1" max="1" width="8" style="30" customWidth="1"/>
    <col min="2" max="2" width="28" style="30" customWidth="1"/>
    <col min="3" max="3" width="16" style="30" customWidth="1"/>
    <col min="4" max="4" width="38" style="30" customWidth="1"/>
  </cols>
  <sheetData>
    <row r="1" spans="1:4" ht="15.6" customHeight="1">
      <c r="A1" s="48" t="s">
        <v>39</v>
      </c>
      <c r="B1" s="46"/>
      <c r="C1" s="46"/>
      <c r="D1" s="46"/>
    </row>
    <row r="2" spans="1:4">
      <c r="A2" s="4" t="s">
        <v>40</v>
      </c>
      <c r="B2" s="4" t="s">
        <v>41</v>
      </c>
      <c r="C2" s="4" t="s">
        <v>42</v>
      </c>
      <c r="D2" s="4" t="s">
        <v>43</v>
      </c>
    </row>
    <row r="3" spans="1:4">
      <c r="A3" s="5" t="s">
        <v>44</v>
      </c>
      <c r="B3" s="5" t="s">
        <v>45</v>
      </c>
      <c r="C3" s="6" t="s">
        <v>46</v>
      </c>
      <c r="D3" s="5" t="s">
        <v>47</v>
      </c>
    </row>
    <row r="4" spans="1:4">
      <c r="A4" s="5" t="s">
        <v>48</v>
      </c>
      <c r="B4" s="5" t="s">
        <v>49</v>
      </c>
      <c r="C4" s="6" t="s">
        <v>46</v>
      </c>
      <c r="D4" s="5" t="s">
        <v>50</v>
      </c>
    </row>
    <row r="5" spans="1:4">
      <c r="A5" s="5" t="s">
        <v>51</v>
      </c>
      <c r="B5" s="5" t="s">
        <v>52</v>
      </c>
      <c r="C5" s="6" t="s">
        <v>46</v>
      </c>
      <c r="D5" s="5" t="s">
        <v>50</v>
      </c>
    </row>
    <row r="6" spans="1:4">
      <c r="A6" s="5" t="s">
        <v>53</v>
      </c>
      <c r="B6" s="5" t="s">
        <v>54</v>
      </c>
      <c r="C6" s="6" t="s">
        <v>46</v>
      </c>
      <c r="D6" s="5" t="s">
        <v>55</v>
      </c>
    </row>
    <row r="7" spans="1:4">
      <c r="A7" s="5" t="s">
        <v>56</v>
      </c>
      <c r="B7" s="5" t="s">
        <v>57</v>
      </c>
      <c r="C7" s="7" t="s">
        <v>58</v>
      </c>
      <c r="D7" s="5" t="s">
        <v>59</v>
      </c>
    </row>
    <row r="8" spans="1:4">
      <c r="A8" s="5" t="s">
        <v>60</v>
      </c>
      <c r="B8" s="5" t="s">
        <v>61</v>
      </c>
      <c r="C8" s="7" t="s">
        <v>58</v>
      </c>
      <c r="D8" s="5" t="s">
        <v>62</v>
      </c>
    </row>
    <row r="9" spans="1:4">
      <c r="A9" s="5" t="s">
        <v>63</v>
      </c>
      <c r="B9" s="5" t="s">
        <v>64</v>
      </c>
      <c r="C9" s="8" t="s">
        <v>65</v>
      </c>
      <c r="D9" s="5" t="s">
        <v>66</v>
      </c>
    </row>
    <row r="10" spans="1:4">
      <c r="A10" s="5" t="s">
        <v>67</v>
      </c>
      <c r="B10" s="5" t="s">
        <v>68</v>
      </c>
      <c r="C10" s="8" t="s">
        <v>65</v>
      </c>
      <c r="D10" s="5" t="s">
        <v>69</v>
      </c>
    </row>
    <row r="11" spans="1:4">
      <c r="A11" s="5" t="s">
        <v>70</v>
      </c>
      <c r="B11" s="5" t="s">
        <v>71</v>
      </c>
      <c r="C11" s="8" t="s">
        <v>72</v>
      </c>
      <c r="D11" s="5" t="s">
        <v>73</v>
      </c>
    </row>
    <row r="12" spans="1:4">
      <c r="A12" s="5" t="s">
        <v>74</v>
      </c>
      <c r="B12" s="5" t="s">
        <v>75</v>
      </c>
      <c r="C12" s="8" t="s">
        <v>72</v>
      </c>
      <c r="D12" s="5" t="s">
        <v>73</v>
      </c>
    </row>
    <row r="13" spans="1:4">
      <c r="A13" s="5" t="s">
        <v>76</v>
      </c>
      <c r="B13" s="5" t="s">
        <v>77</v>
      </c>
      <c r="C13" s="3" t="s">
        <v>78</v>
      </c>
      <c r="D13" s="5" t="s">
        <v>79</v>
      </c>
    </row>
    <row r="14" spans="1:4">
      <c r="A14" s="5" t="s">
        <v>80</v>
      </c>
      <c r="B14" s="5" t="s">
        <v>81</v>
      </c>
      <c r="C14" s="3" t="s">
        <v>78</v>
      </c>
      <c r="D14" s="5" t="s">
        <v>82</v>
      </c>
    </row>
    <row r="15" spans="1:4">
      <c r="A15" s="5" t="s">
        <v>83</v>
      </c>
      <c r="B15" s="5" t="s">
        <v>84</v>
      </c>
      <c r="C15" s="7" t="s">
        <v>85</v>
      </c>
      <c r="D15" s="5" t="s">
        <v>86</v>
      </c>
    </row>
    <row r="16" spans="1:4">
      <c r="A16" s="5" t="s">
        <v>87</v>
      </c>
      <c r="B16" s="5" t="s">
        <v>88</v>
      </c>
      <c r="C16" s="7" t="s">
        <v>85</v>
      </c>
      <c r="D16" s="5" t="s">
        <v>86</v>
      </c>
    </row>
    <row r="17" spans="1:4">
      <c r="A17" s="5" t="s">
        <v>89</v>
      </c>
      <c r="B17" s="5" t="s">
        <v>35</v>
      </c>
      <c r="C17" s="7" t="s">
        <v>85</v>
      </c>
      <c r="D17" s="5" t="s">
        <v>82</v>
      </c>
    </row>
    <row r="18" spans="1:4">
      <c r="A18" s="5" t="s">
        <v>90</v>
      </c>
      <c r="B18" s="5" t="s">
        <v>36</v>
      </c>
      <c r="C18" s="7" t="s">
        <v>85</v>
      </c>
      <c r="D18" s="5" t="s">
        <v>82</v>
      </c>
    </row>
    <row r="19" spans="1:4">
      <c r="A19" s="5" t="s">
        <v>91</v>
      </c>
      <c r="B19" s="5" t="s">
        <v>37</v>
      </c>
      <c r="C19" s="7" t="s">
        <v>85</v>
      </c>
      <c r="D19" s="5" t="s">
        <v>82</v>
      </c>
    </row>
    <row r="20" spans="1:4">
      <c r="A20" s="5" t="s">
        <v>92</v>
      </c>
      <c r="B20" s="5" t="s">
        <v>93</v>
      </c>
      <c r="C20" s="7" t="s">
        <v>85</v>
      </c>
      <c r="D20" s="5" t="s">
        <v>94</v>
      </c>
    </row>
  </sheetData>
  <sheetProtection password="EF81" sheet="1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1049"/>
  <sheetViews>
    <sheetView zoomScale="115" zoomScaleNormal="115" workbookViewId="0">
      <pane ySplit="2" topLeftCell="A44" activePane="bottomLeft" state="frozen"/>
      <selection pane="bottomLeft" activeCell="E38" sqref="E38"/>
    </sheetView>
  </sheetViews>
  <sheetFormatPr defaultRowHeight="14.4"/>
  <cols>
    <col min="1" max="1" width="14" style="30" customWidth="1"/>
    <col min="2" max="2" width="18" style="30" customWidth="1"/>
    <col min="3" max="3" width="16" style="30" customWidth="1"/>
    <col min="4" max="5" width="14" style="30" customWidth="1"/>
    <col min="6" max="7" width="16" style="30" customWidth="1"/>
    <col min="8" max="8" width="26.21875" style="30" customWidth="1"/>
  </cols>
  <sheetData>
    <row r="1" spans="1:8" ht="15.6" customHeight="1">
      <c r="A1" s="49" t="s">
        <v>95</v>
      </c>
      <c r="B1" s="46"/>
      <c r="C1" s="46"/>
      <c r="D1" s="46"/>
      <c r="E1" s="46"/>
      <c r="F1" s="46"/>
      <c r="G1" s="46"/>
      <c r="H1" s="46"/>
    </row>
    <row r="2" spans="1:8">
      <c r="A2" s="22" t="s">
        <v>96</v>
      </c>
      <c r="B2" s="22" t="s">
        <v>97</v>
      </c>
      <c r="C2" s="22" t="s">
        <v>98</v>
      </c>
      <c r="D2" s="22" t="s">
        <v>99</v>
      </c>
      <c r="E2" s="22" t="s">
        <v>100</v>
      </c>
      <c r="F2" s="22" t="s">
        <v>101</v>
      </c>
      <c r="G2" s="22" t="s">
        <v>102</v>
      </c>
      <c r="H2" s="22" t="s">
        <v>103</v>
      </c>
    </row>
    <row r="3" spans="1:8">
      <c r="A3" s="27">
        <v>46113</v>
      </c>
      <c r="B3" s="23" t="s">
        <v>104</v>
      </c>
      <c r="C3" s="24" t="s">
        <v>12</v>
      </c>
      <c r="D3" s="24" t="s">
        <v>13</v>
      </c>
      <c r="E3" s="24">
        <v>64</v>
      </c>
      <c r="F3" s="24">
        <v>352</v>
      </c>
      <c r="G3" s="24">
        <f t="shared" ref="G3:G66" si="0">IF(OR(E3="",F3=""),"",E3*F3)</f>
        <v>22528</v>
      </c>
      <c r="H3" s="24" t="str">
        <f t="shared" ref="H3:H66" si="1">IF(OR(C3="",D3=""),"",C3&amp;"|"&amp;D3)</f>
        <v>Akatsi Feed|LM</v>
      </c>
    </row>
    <row r="4" spans="1:8">
      <c r="A4" s="27">
        <v>46113</v>
      </c>
      <c r="B4" s="23" t="s">
        <v>104</v>
      </c>
      <c r="C4" s="24" t="s">
        <v>12</v>
      </c>
      <c r="D4" s="24" t="s">
        <v>17</v>
      </c>
      <c r="E4" s="24">
        <v>23</v>
      </c>
      <c r="F4" s="24">
        <v>340</v>
      </c>
      <c r="G4" s="24">
        <f t="shared" si="0"/>
        <v>7820</v>
      </c>
      <c r="H4" s="24" t="str">
        <f t="shared" si="1"/>
        <v>Akatsi Feed|GM</v>
      </c>
    </row>
    <row r="5" spans="1:8">
      <c r="A5" s="27">
        <v>46113</v>
      </c>
      <c r="B5" s="23" t="s">
        <v>104</v>
      </c>
      <c r="C5" s="24" t="s">
        <v>12</v>
      </c>
      <c r="D5" s="24" t="s">
        <v>21</v>
      </c>
      <c r="E5" s="24">
        <v>8</v>
      </c>
      <c r="F5" s="24">
        <v>357</v>
      </c>
      <c r="G5" s="24">
        <f t="shared" si="0"/>
        <v>2856</v>
      </c>
      <c r="H5" s="24" t="str">
        <f t="shared" si="1"/>
        <v>Akatsi Feed|CM</v>
      </c>
    </row>
    <row r="6" spans="1:8">
      <c r="A6" s="27">
        <v>46113</v>
      </c>
      <c r="B6" s="23" t="s">
        <v>104</v>
      </c>
      <c r="C6" s="24" t="s">
        <v>12</v>
      </c>
      <c r="D6" s="24" t="s">
        <v>25</v>
      </c>
      <c r="E6" s="24">
        <v>0</v>
      </c>
      <c r="F6" s="24">
        <v>395</v>
      </c>
      <c r="G6" s="24">
        <f t="shared" si="0"/>
        <v>0</v>
      </c>
      <c r="H6" s="24" t="str">
        <f t="shared" si="1"/>
        <v>Akatsi Feed|BS</v>
      </c>
    </row>
    <row r="7" spans="1:8">
      <c r="A7" s="27">
        <v>46113</v>
      </c>
      <c r="B7" s="23" t="s">
        <v>104</v>
      </c>
      <c r="C7" s="24" t="s">
        <v>12</v>
      </c>
      <c r="D7" s="24" t="s">
        <v>28</v>
      </c>
      <c r="E7" s="24">
        <v>0</v>
      </c>
      <c r="F7" s="24">
        <v>730</v>
      </c>
      <c r="G7" s="24">
        <f t="shared" si="0"/>
        <v>0</v>
      </c>
      <c r="H7" s="24" t="str">
        <f t="shared" si="1"/>
        <v>Akatsi Feed|Hend 5%</v>
      </c>
    </row>
    <row r="8" spans="1:8">
      <c r="A8" s="27">
        <v>46113</v>
      </c>
      <c r="B8" s="23" t="s">
        <v>104</v>
      </c>
      <c r="C8" s="24" t="s">
        <v>12</v>
      </c>
      <c r="D8" s="24" t="s">
        <v>27</v>
      </c>
      <c r="E8" s="24">
        <v>0</v>
      </c>
      <c r="F8" s="24">
        <v>80</v>
      </c>
      <c r="G8" s="24">
        <f t="shared" si="0"/>
        <v>0</v>
      </c>
      <c r="H8" s="24" t="str">
        <f t="shared" si="1"/>
        <v>Akatsi Feed|GMG</v>
      </c>
    </row>
    <row r="9" spans="1:8">
      <c r="A9" s="27">
        <v>46113</v>
      </c>
      <c r="B9" s="23" t="s">
        <v>104</v>
      </c>
      <c r="C9" s="24" t="s">
        <v>12</v>
      </c>
      <c r="D9" s="24" t="s">
        <v>33</v>
      </c>
      <c r="E9" s="24">
        <v>44</v>
      </c>
      <c r="F9" s="24">
        <v>80</v>
      </c>
      <c r="G9" s="24">
        <f t="shared" si="0"/>
        <v>3520</v>
      </c>
      <c r="H9" s="24" t="str">
        <f t="shared" si="1"/>
        <v>Akatsi Feed|Crates</v>
      </c>
    </row>
    <row r="10" spans="1:8">
      <c r="A10" s="27">
        <v>46113</v>
      </c>
      <c r="B10" s="23" t="s">
        <v>104</v>
      </c>
      <c r="C10" s="24" t="s">
        <v>16</v>
      </c>
      <c r="D10" s="24" t="s">
        <v>13</v>
      </c>
      <c r="E10" s="24">
        <v>21</v>
      </c>
      <c r="F10" s="24">
        <v>352</v>
      </c>
      <c r="G10" s="24">
        <f t="shared" si="0"/>
        <v>7392</v>
      </c>
      <c r="H10" s="24" t="str">
        <f t="shared" si="1"/>
        <v>Abor Feed|LM</v>
      </c>
    </row>
    <row r="11" spans="1:8">
      <c r="A11" s="27">
        <v>46113</v>
      </c>
      <c r="B11" s="23" t="s">
        <v>104</v>
      </c>
      <c r="C11" s="24" t="s">
        <v>16</v>
      </c>
      <c r="D11" s="24" t="s">
        <v>17</v>
      </c>
      <c r="E11" s="24">
        <v>3</v>
      </c>
      <c r="F11" s="24">
        <v>340</v>
      </c>
      <c r="G11" s="24">
        <f t="shared" si="0"/>
        <v>1020</v>
      </c>
      <c r="H11" s="24" t="str">
        <f t="shared" si="1"/>
        <v>Abor Feed|GM</v>
      </c>
    </row>
    <row r="12" spans="1:8">
      <c r="A12" s="27">
        <v>46113</v>
      </c>
      <c r="B12" s="23" t="s">
        <v>104</v>
      </c>
      <c r="C12" s="24" t="s">
        <v>16</v>
      </c>
      <c r="D12" s="24" t="s">
        <v>21</v>
      </c>
      <c r="E12" s="24">
        <v>0</v>
      </c>
      <c r="F12" s="24">
        <v>357</v>
      </c>
      <c r="G12" s="24">
        <f t="shared" si="0"/>
        <v>0</v>
      </c>
      <c r="H12" s="24" t="str">
        <f t="shared" si="1"/>
        <v>Abor Feed|CM</v>
      </c>
    </row>
    <row r="13" spans="1:8">
      <c r="A13" s="27">
        <v>46113</v>
      </c>
      <c r="B13" s="23" t="s">
        <v>104</v>
      </c>
      <c r="C13" s="24" t="s">
        <v>16</v>
      </c>
      <c r="D13" s="24" t="s">
        <v>25</v>
      </c>
      <c r="E13" s="24">
        <v>0</v>
      </c>
      <c r="F13" s="24">
        <v>395</v>
      </c>
      <c r="G13" s="24">
        <f t="shared" si="0"/>
        <v>0</v>
      </c>
      <c r="H13" s="24" t="str">
        <f t="shared" si="1"/>
        <v>Abor Feed|BS</v>
      </c>
    </row>
    <row r="14" spans="1:8">
      <c r="A14" s="27">
        <v>46113</v>
      </c>
      <c r="B14" s="23" t="s">
        <v>104</v>
      </c>
      <c r="C14" s="24" t="s">
        <v>16</v>
      </c>
      <c r="D14" s="24" t="s">
        <v>27</v>
      </c>
      <c r="E14" s="24">
        <v>0</v>
      </c>
      <c r="F14" s="24">
        <v>80</v>
      </c>
      <c r="G14" s="24">
        <f t="shared" si="0"/>
        <v>0</v>
      </c>
      <c r="H14" s="24" t="str">
        <f t="shared" si="1"/>
        <v>Abor Feed|GMG</v>
      </c>
    </row>
    <row r="15" spans="1:8">
      <c r="A15" s="27">
        <v>46113</v>
      </c>
      <c r="B15" s="23" t="s">
        <v>104</v>
      </c>
      <c r="C15" s="24" t="s">
        <v>16</v>
      </c>
      <c r="D15" s="24" t="s">
        <v>33</v>
      </c>
      <c r="E15" s="24">
        <v>0</v>
      </c>
      <c r="F15" s="24">
        <v>80</v>
      </c>
      <c r="G15" s="24">
        <f t="shared" si="0"/>
        <v>0</v>
      </c>
      <c r="H15" s="24" t="str">
        <f t="shared" si="1"/>
        <v>Abor Feed|Crates</v>
      </c>
    </row>
    <row r="16" spans="1:8">
      <c r="A16" s="27">
        <v>46120</v>
      </c>
      <c r="B16" s="23" t="s">
        <v>104</v>
      </c>
      <c r="C16" s="24" t="s">
        <v>12</v>
      </c>
      <c r="D16" s="24" t="s">
        <v>13</v>
      </c>
      <c r="E16" s="24">
        <v>110</v>
      </c>
      <c r="F16" s="24">
        <v>352</v>
      </c>
      <c r="G16" s="24">
        <f t="shared" si="0"/>
        <v>38720</v>
      </c>
      <c r="H16" s="24" t="str">
        <f t="shared" si="1"/>
        <v>Akatsi Feed|LM</v>
      </c>
    </row>
    <row r="17" spans="1:8">
      <c r="A17" s="27">
        <v>46120</v>
      </c>
      <c r="B17" s="23" t="s">
        <v>104</v>
      </c>
      <c r="C17" s="24" t="s">
        <v>12</v>
      </c>
      <c r="D17" s="24" t="s">
        <v>21</v>
      </c>
      <c r="E17" s="24">
        <v>10</v>
      </c>
      <c r="F17" s="24">
        <v>357</v>
      </c>
      <c r="G17" s="24">
        <f t="shared" si="0"/>
        <v>3570</v>
      </c>
      <c r="H17" s="24" t="str">
        <f t="shared" si="1"/>
        <v>Akatsi Feed|CM</v>
      </c>
    </row>
    <row r="18" spans="1:8">
      <c r="A18" s="27">
        <v>46120</v>
      </c>
      <c r="B18" s="23" t="s">
        <v>104</v>
      </c>
      <c r="C18" s="24" t="s">
        <v>16</v>
      </c>
      <c r="D18" s="24" t="s">
        <v>13</v>
      </c>
      <c r="E18" s="24">
        <v>23</v>
      </c>
      <c r="F18" s="24">
        <v>352</v>
      </c>
      <c r="G18" s="24">
        <f t="shared" si="0"/>
        <v>8096</v>
      </c>
      <c r="H18" s="24" t="str">
        <f t="shared" si="1"/>
        <v>Abor Feed|LM</v>
      </c>
    </row>
    <row r="19" spans="1:8">
      <c r="A19" s="27">
        <v>46120</v>
      </c>
      <c r="B19" s="23" t="s">
        <v>104</v>
      </c>
      <c r="C19" s="24" t="s">
        <v>20</v>
      </c>
      <c r="D19" s="24" t="s">
        <v>13</v>
      </c>
      <c r="E19" s="24">
        <v>75</v>
      </c>
      <c r="F19" s="24">
        <v>352</v>
      </c>
      <c r="G19" s="24">
        <f t="shared" si="0"/>
        <v>26400</v>
      </c>
      <c r="H19" s="24" t="str">
        <f t="shared" si="1"/>
        <v>Mobile Shop|LM</v>
      </c>
    </row>
    <row r="20" spans="1:8">
      <c r="A20" s="27">
        <v>46120</v>
      </c>
      <c r="B20" s="23" t="s">
        <v>104</v>
      </c>
      <c r="C20" s="24" t="s">
        <v>20</v>
      </c>
      <c r="D20" s="24" t="s">
        <v>17</v>
      </c>
      <c r="E20" s="24">
        <v>2</v>
      </c>
      <c r="F20" s="24">
        <v>340</v>
      </c>
      <c r="G20" s="24">
        <f t="shared" si="0"/>
        <v>680</v>
      </c>
      <c r="H20" s="24" t="str">
        <f t="shared" si="1"/>
        <v>Mobile Shop|GM</v>
      </c>
    </row>
    <row r="21" spans="1:8">
      <c r="A21" s="27">
        <v>46120</v>
      </c>
      <c r="B21" s="23" t="s">
        <v>104</v>
      </c>
      <c r="C21" s="24" t="s">
        <v>20</v>
      </c>
      <c r="D21" s="24" t="s">
        <v>21</v>
      </c>
      <c r="E21" s="24">
        <v>0</v>
      </c>
      <c r="F21" s="24">
        <v>357</v>
      </c>
      <c r="G21" s="24">
        <f t="shared" si="0"/>
        <v>0</v>
      </c>
      <c r="H21" s="24" t="str">
        <f t="shared" si="1"/>
        <v>Mobile Shop|CM</v>
      </c>
    </row>
    <row r="22" spans="1:8">
      <c r="A22" s="27">
        <v>46120</v>
      </c>
      <c r="B22" s="23" t="s">
        <v>104</v>
      </c>
      <c r="C22" s="24" t="s">
        <v>20</v>
      </c>
      <c r="D22" s="24" t="s">
        <v>28</v>
      </c>
      <c r="E22" s="24">
        <v>0</v>
      </c>
      <c r="F22" s="24">
        <v>730</v>
      </c>
      <c r="G22" s="24">
        <f t="shared" si="0"/>
        <v>0</v>
      </c>
      <c r="H22" s="24" t="str">
        <f t="shared" si="1"/>
        <v>Mobile Shop|Hend 5%</v>
      </c>
    </row>
    <row r="23" spans="1:8">
      <c r="A23" s="27">
        <v>46113</v>
      </c>
      <c r="B23" s="23" t="s">
        <v>104</v>
      </c>
      <c r="C23" s="24" t="s">
        <v>20</v>
      </c>
      <c r="D23" s="24"/>
      <c r="E23" s="24">
        <v>0</v>
      </c>
      <c r="F23" s="24">
        <v>80</v>
      </c>
      <c r="G23" s="24">
        <f t="shared" si="0"/>
        <v>0</v>
      </c>
      <c r="H23" s="24" t="str">
        <f t="shared" si="1"/>
        <v/>
      </c>
    </row>
    <row r="24" spans="1:8">
      <c r="A24" s="27">
        <v>46113</v>
      </c>
      <c r="B24" s="23" t="s">
        <v>105</v>
      </c>
      <c r="C24" s="24" t="s">
        <v>24</v>
      </c>
      <c r="D24" s="24"/>
      <c r="E24" s="24">
        <v>0</v>
      </c>
      <c r="F24" s="24">
        <v>69.5</v>
      </c>
      <c r="G24" s="24">
        <f t="shared" si="0"/>
        <v>0</v>
      </c>
      <c r="H24" s="24" t="str">
        <f t="shared" si="1"/>
        <v/>
      </c>
    </row>
    <row r="25" spans="1:8">
      <c r="A25" s="27">
        <v>46113</v>
      </c>
      <c r="B25" s="23" t="s">
        <v>105</v>
      </c>
      <c r="C25" s="24" t="s">
        <v>24</v>
      </c>
      <c r="D25" s="24"/>
      <c r="E25" s="24">
        <v>0</v>
      </c>
      <c r="F25" s="24">
        <v>59.5</v>
      </c>
      <c r="G25" s="24">
        <f t="shared" si="0"/>
        <v>0</v>
      </c>
      <c r="H25" s="24" t="str">
        <f t="shared" si="1"/>
        <v/>
      </c>
    </row>
    <row r="26" spans="1:8">
      <c r="A26" s="27">
        <v>46113</v>
      </c>
      <c r="B26" s="23" t="s">
        <v>105</v>
      </c>
      <c r="C26" s="24" t="s">
        <v>24</v>
      </c>
      <c r="D26" s="24"/>
      <c r="E26" s="24">
        <v>13</v>
      </c>
      <c r="F26" s="24">
        <v>57.5</v>
      </c>
      <c r="G26" s="24">
        <f t="shared" si="0"/>
        <v>747.5</v>
      </c>
      <c r="H26" s="24" t="str">
        <f t="shared" si="1"/>
        <v/>
      </c>
    </row>
    <row r="27" spans="1:8">
      <c r="A27" s="27">
        <v>46113</v>
      </c>
      <c r="B27" s="23" t="s">
        <v>105</v>
      </c>
      <c r="C27" s="24" t="s">
        <v>24</v>
      </c>
      <c r="D27" s="24"/>
      <c r="E27" s="24">
        <v>17</v>
      </c>
      <c r="F27" s="24">
        <v>54.5</v>
      </c>
      <c r="G27" s="24">
        <f t="shared" si="0"/>
        <v>926.5</v>
      </c>
      <c r="H27" s="24" t="str">
        <f t="shared" si="1"/>
        <v/>
      </c>
    </row>
    <row r="28" spans="1:8">
      <c r="A28" s="27">
        <v>46113</v>
      </c>
      <c r="B28" s="23" t="s">
        <v>105</v>
      </c>
      <c r="C28" s="24" t="s">
        <v>24</v>
      </c>
      <c r="D28" s="24"/>
      <c r="E28" s="24">
        <v>14</v>
      </c>
      <c r="F28" s="24">
        <v>39.5</v>
      </c>
      <c r="G28" s="24">
        <f t="shared" si="0"/>
        <v>553</v>
      </c>
      <c r="H28" s="24" t="str">
        <f t="shared" si="1"/>
        <v/>
      </c>
    </row>
    <row r="29" spans="1:8">
      <c r="A29" s="27">
        <v>46113</v>
      </c>
      <c r="B29" s="23" t="s">
        <v>105</v>
      </c>
      <c r="C29" s="24" t="s">
        <v>24</v>
      </c>
      <c r="D29" s="24"/>
      <c r="E29" s="24">
        <v>0</v>
      </c>
      <c r="F29" s="24">
        <v>34.5</v>
      </c>
      <c r="G29" s="24">
        <f t="shared" si="0"/>
        <v>0</v>
      </c>
      <c r="H29" s="24" t="str">
        <f t="shared" si="1"/>
        <v/>
      </c>
    </row>
    <row r="30" spans="1:8">
      <c r="A30" s="27">
        <v>46113</v>
      </c>
      <c r="B30" s="23" t="s">
        <v>105</v>
      </c>
      <c r="C30" s="24" t="s">
        <v>24</v>
      </c>
      <c r="D30" s="24"/>
      <c r="E30" s="24">
        <v>4</v>
      </c>
      <c r="F30" s="24">
        <v>29.5</v>
      </c>
      <c r="G30" s="24">
        <f t="shared" si="0"/>
        <v>118</v>
      </c>
      <c r="H30" s="24" t="str">
        <f t="shared" si="1"/>
        <v/>
      </c>
    </row>
    <row r="31" spans="1:8">
      <c r="A31" s="27">
        <v>46129</v>
      </c>
      <c r="B31" s="23" t="s">
        <v>104</v>
      </c>
      <c r="C31" s="24" t="s">
        <v>12</v>
      </c>
      <c r="D31" s="24" t="s">
        <v>13</v>
      </c>
      <c r="E31" s="24">
        <v>0</v>
      </c>
      <c r="F31" s="24">
        <v>352</v>
      </c>
      <c r="G31" s="24">
        <f t="shared" si="0"/>
        <v>0</v>
      </c>
      <c r="H31" s="24" t="str">
        <f t="shared" si="1"/>
        <v>Akatsi Feed|LM</v>
      </c>
    </row>
    <row r="32" spans="1:8">
      <c r="A32" s="27">
        <v>46129</v>
      </c>
      <c r="B32" s="23" t="s">
        <v>104</v>
      </c>
      <c r="C32" s="24" t="s">
        <v>12</v>
      </c>
      <c r="D32" s="24" t="s">
        <v>17</v>
      </c>
      <c r="E32" s="24">
        <v>0</v>
      </c>
      <c r="F32" s="24">
        <v>340</v>
      </c>
      <c r="G32" s="24">
        <f t="shared" si="0"/>
        <v>0</v>
      </c>
      <c r="H32" s="24" t="str">
        <f t="shared" si="1"/>
        <v>Akatsi Feed|GM</v>
      </c>
    </row>
    <row r="33" spans="1:8">
      <c r="A33" s="27">
        <v>46129</v>
      </c>
      <c r="B33" s="23" t="s">
        <v>104</v>
      </c>
      <c r="C33" s="24" t="s">
        <v>16</v>
      </c>
      <c r="D33" s="24" t="s">
        <v>13</v>
      </c>
      <c r="E33" s="24">
        <v>13</v>
      </c>
      <c r="F33" s="24">
        <v>352</v>
      </c>
      <c r="G33" s="24">
        <f t="shared" si="0"/>
        <v>4576</v>
      </c>
      <c r="H33" s="24" t="str">
        <f t="shared" si="1"/>
        <v>Abor Feed|LM</v>
      </c>
    </row>
    <row r="34" spans="1:8">
      <c r="A34" s="27">
        <v>46129</v>
      </c>
      <c r="B34" s="23" t="s">
        <v>104</v>
      </c>
      <c r="C34" s="24" t="s">
        <v>16</v>
      </c>
      <c r="D34" s="24" t="s">
        <v>17</v>
      </c>
      <c r="E34" s="24">
        <v>3</v>
      </c>
      <c r="F34" s="24">
        <v>340</v>
      </c>
      <c r="G34" s="24">
        <f t="shared" si="0"/>
        <v>1020</v>
      </c>
      <c r="H34" s="24" t="str">
        <f t="shared" si="1"/>
        <v>Abor Feed|GM</v>
      </c>
    </row>
    <row r="35" spans="1:8">
      <c r="A35" s="27">
        <v>46129</v>
      </c>
      <c r="B35" s="23" t="s">
        <v>104</v>
      </c>
      <c r="C35" s="24" t="s">
        <v>20</v>
      </c>
      <c r="D35" s="24" t="s">
        <v>13</v>
      </c>
      <c r="E35" s="24">
        <v>50</v>
      </c>
      <c r="F35" s="24">
        <v>352</v>
      </c>
      <c r="G35" s="24">
        <f t="shared" si="0"/>
        <v>17600</v>
      </c>
      <c r="H35" s="24" t="str">
        <f t="shared" si="1"/>
        <v>Mobile Shop|LM</v>
      </c>
    </row>
    <row r="36" spans="1:8">
      <c r="A36" s="27">
        <v>46129</v>
      </c>
      <c r="B36" s="23" t="s">
        <v>104</v>
      </c>
      <c r="C36" s="24" t="s">
        <v>20</v>
      </c>
      <c r="D36" s="24" t="s">
        <v>28</v>
      </c>
      <c r="E36" s="24">
        <v>4</v>
      </c>
      <c r="F36" s="24">
        <v>730</v>
      </c>
      <c r="G36" s="24">
        <f t="shared" si="0"/>
        <v>2920</v>
      </c>
      <c r="H36" s="24" t="str">
        <f t="shared" si="1"/>
        <v>Mobile Shop|Hend 5%</v>
      </c>
    </row>
    <row r="37" spans="1:8">
      <c r="A37" s="27">
        <v>46135</v>
      </c>
      <c r="B37" s="23" t="s">
        <v>104</v>
      </c>
      <c r="C37" s="24" t="s">
        <v>12</v>
      </c>
      <c r="D37" s="24" t="s">
        <v>33</v>
      </c>
      <c r="E37" s="24">
        <v>20</v>
      </c>
      <c r="F37" s="24">
        <v>80</v>
      </c>
      <c r="G37" s="24">
        <f t="shared" si="0"/>
        <v>1600</v>
      </c>
      <c r="H37" s="24" t="str">
        <f t="shared" si="1"/>
        <v>Akatsi Feed|Crates</v>
      </c>
    </row>
    <row r="38" spans="1:8">
      <c r="A38" s="27">
        <v>46135</v>
      </c>
      <c r="B38" s="23" t="s">
        <v>104</v>
      </c>
      <c r="C38" s="24" t="s">
        <v>12</v>
      </c>
      <c r="D38" s="24" t="s">
        <v>13</v>
      </c>
      <c r="E38" s="24">
        <v>90</v>
      </c>
      <c r="F38" s="24">
        <v>352</v>
      </c>
      <c r="G38" s="24">
        <f t="shared" si="0"/>
        <v>31680</v>
      </c>
      <c r="H38" s="24" t="str">
        <f t="shared" si="1"/>
        <v>Akatsi Feed|LM</v>
      </c>
    </row>
    <row r="39" spans="1:8">
      <c r="A39" s="27">
        <v>46135</v>
      </c>
      <c r="B39" s="23" t="s">
        <v>104</v>
      </c>
      <c r="C39" s="24" t="s">
        <v>12</v>
      </c>
      <c r="D39" s="24" t="s">
        <v>17</v>
      </c>
      <c r="E39" s="24">
        <v>30</v>
      </c>
      <c r="F39" s="24">
        <v>340</v>
      </c>
      <c r="G39" s="24">
        <f t="shared" si="0"/>
        <v>10200</v>
      </c>
      <c r="H39" s="24" t="str">
        <f t="shared" si="1"/>
        <v>Akatsi Feed|GM</v>
      </c>
    </row>
    <row r="40" spans="1:8">
      <c r="A40" s="27">
        <v>46135</v>
      </c>
      <c r="B40" s="23" t="s">
        <v>104</v>
      </c>
      <c r="C40" s="24" t="s">
        <v>16</v>
      </c>
      <c r="D40" s="24" t="s">
        <v>13</v>
      </c>
      <c r="E40" s="24">
        <v>56</v>
      </c>
      <c r="F40" s="24">
        <v>352</v>
      </c>
      <c r="G40" s="24">
        <f t="shared" si="0"/>
        <v>19712</v>
      </c>
      <c r="H40" s="24" t="str">
        <f t="shared" si="1"/>
        <v>Abor Feed|LM</v>
      </c>
    </row>
    <row r="41" spans="1:8">
      <c r="A41" s="27">
        <v>46135</v>
      </c>
      <c r="B41" s="23" t="s">
        <v>104</v>
      </c>
      <c r="C41" s="24" t="s">
        <v>16</v>
      </c>
      <c r="D41" s="24" t="s">
        <v>17</v>
      </c>
      <c r="E41" s="24">
        <v>10</v>
      </c>
      <c r="F41" s="24">
        <v>340</v>
      </c>
      <c r="G41" s="24">
        <f t="shared" si="0"/>
        <v>3400</v>
      </c>
      <c r="H41" s="24" t="str">
        <f t="shared" si="1"/>
        <v>Abor Feed|GM</v>
      </c>
    </row>
    <row r="42" spans="1:8">
      <c r="A42" s="27">
        <v>46135</v>
      </c>
      <c r="B42" s="23" t="s">
        <v>104</v>
      </c>
      <c r="C42" s="24" t="s">
        <v>20</v>
      </c>
      <c r="D42" s="24" t="s">
        <v>13</v>
      </c>
      <c r="E42" s="24">
        <v>60</v>
      </c>
      <c r="F42" s="24">
        <v>352</v>
      </c>
      <c r="G42" s="24">
        <f t="shared" si="0"/>
        <v>21120</v>
      </c>
      <c r="H42" s="24" t="str">
        <f t="shared" si="1"/>
        <v>Mobile Shop|LM</v>
      </c>
    </row>
    <row r="43" spans="1:8">
      <c r="A43" s="27">
        <v>46135</v>
      </c>
      <c r="B43" s="23" t="s">
        <v>104</v>
      </c>
      <c r="C43" s="24" t="s">
        <v>20</v>
      </c>
      <c r="D43" s="24" t="s">
        <v>106</v>
      </c>
      <c r="E43" s="24">
        <v>14</v>
      </c>
      <c r="F43" s="24">
        <v>570</v>
      </c>
      <c r="G43" s="24">
        <f t="shared" si="0"/>
        <v>7980</v>
      </c>
      <c r="H43" s="24" t="str">
        <f t="shared" si="1"/>
        <v>Mobile Shop|Layer Conc 20%</v>
      </c>
    </row>
    <row r="44" spans="1:8">
      <c r="A44" s="27">
        <v>46135</v>
      </c>
      <c r="B44" s="23" t="s">
        <v>107</v>
      </c>
      <c r="C44" s="24" t="s">
        <v>20</v>
      </c>
      <c r="D44" s="24" t="s">
        <v>108</v>
      </c>
      <c r="E44" s="24">
        <v>2</v>
      </c>
      <c r="F44" s="24">
        <v>770</v>
      </c>
      <c r="G44" s="24">
        <f t="shared" si="0"/>
        <v>1540</v>
      </c>
      <c r="H44" s="24" t="str">
        <f t="shared" si="1"/>
        <v>Mobile Shop|Intraco Conc 5%</v>
      </c>
    </row>
    <row r="45" spans="1:8">
      <c r="A45" s="27">
        <v>46140</v>
      </c>
      <c r="B45" s="23" t="s">
        <v>340</v>
      </c>
      <c r="C45" s="24" t="s">
        <v>12</v>
      </c>
      <c r="D45" s="24" t="s">
        <v>33</v>
      </c>
      <c r="E45" s="24">
        <v>20</v>
      </c>
      <c r="F45" s="24">
        <v>80</v>
      </c>
      <c r="G45" s="24">
        <f t="shared" si="0"/>
        <v>1600</v>
      </c>
      <c r="H45" s="24" t="str">
        <f t="shared" si="1"/>
        <v>Akatsi Feed|Crates</v>
      </c>
    </row>
    <row r="46" spans="1:8">
      <c r="A46" s="27">
        <v>46140</v>
      </c>
      <c r="B46" s="23" t="s">
        <v>340</v>
      </c>
      <c r="C46" s="24" t="s">
        <v>16</v>
      </c>
      <c r="D46" s="24" t="s">
        <v>33</v>
      </c>
      <c r="E46" s="24">
        <v>20</v>
      </c>
      <c r="F46" s="24">
        <v>80</v>
      </c>
      <c r="G46" s="24">
        <f t="shared" si="0"/>
        <v>1600</v>
      </c>
      <c r="H46" s="24" t="str">
        <f t="shared" si="1"/>
        <v>Abor Feed|Crates</v>
      </c>
    </row>
    <row r="47" spans="1:8">
      <c r="A47" s="27">
        <v>46142</v>
      </c>
      <c r="B47" s="23" t="s">
        <v>104</v>
      </c>
      <c r="C47" s="24" t="s">
        <v>12</v>
      </c>
      <c r="D47" s="24" t="s">
        <v>13</v>
      </c>
      <c r="E47" s="24">
        <v>57</v>
      </c>
      <c r="F47" s="24">
        <v>352</v>
      </c>
      <c r="G47" s="24">
        <f t="shared" si="0"/>
        <v>20064</v>
      </c>
      <c r="H47" s="24" t="str">
        <f t="shared" si="1"/>
        <v>Akatsi Feed|LM</v>
      </c>
    </row>
    <row r="48" spans="1:8">
      <c r="A48" s="27">
        <v>46142</v>
      </c>
      <c r="B48" s="23" t="s">
        <v>104</v>
      </c>
      <c r="C48" s="24" t="s">
        <v>12</v>
      </c>
      <c r="D48" s="24" t="s">
        <v>17</v>
      </c>
      <c r="E48" s="24">
        <v>5</v>
      </c>
      <c r="F48" s="24">
        <v>340</v>
      </c>
      <c r="G48" s="24">
        <f t="shared" si="0"/>
        <v>1700</v>
      </c>
      <c r="H48" s="24" t="str">
        <f t="shared" si="1"/>
        <v>Akatsi Feed|GM</v>
      </c>
    </row>
    <row r="49" spans="1:8">
      <c r="A49" s="27">
        <v>46142</v>
      </c>
      <c r="B49" s="23" t="s">
        <v>104</v>
      </c>
      <c r="C49" s="24" t="s">
        <v>12</v>
      </c>
      <c r="D49" s="24" t="s">
        <v>21</v>
      </c>
      <c r="E49" s="24">
        <v>5</v>
      </c>
      <c r="F49" s="24">
        <v>357</v>
      </c>
      <c r="G49" s="24">
        <f t="shared" si="0"/>
        <v>1785</v>
      </c>
      <c r="H49" s="24" t="str">
        <f t="shared" si="1"/>
        <v>Akatsi Feed|CM</v>
      </c>
    </row>
    <row r="50" spans="1:8">
      <c r="A50" s="27">
        <v>46142</v>
      </c>
      <c r="B50" s="23" t="s">
        <v>104</v>
      </c>
      <c r="C50" s="24" t="s">
        <v>16</v>
      </c>
      <c r="D50" s="24" t="s">
        <v>13</v>
      </c>
      <c r="E50" s="24">
        <v>20</v>
      </c>
      <c r="F50" s="24">
        <v>352</v>
      </c>
      <c r="G50" s="24">
        <f t="shared" si="0"/>
        <v>7040</v>
      </c>
      <c r="H50" s="24" t="str">
        <f t="shared" si="1"/>
        <v>Abor Feed|LM</v>
      </c>
    </row>
    <row r="51" spans="1:8">
      <c r="A51" s="27">
        <v>46142</v>
      </c>
      <c r="B51" s="23" t="s">
        <v>104</v>
      </c>
      <c r="C51" s="24" t="s">
        <v>16</v>
      </c>
      <c r="D51" s="24" t="s">
        <v>17</v>
      </c>
      <c r="E51" s="24">
        <v>5</v>
      </c>
      <c r="F51" s="24">
        <v>340</v>
      </c>
      <c r="G51" s="24">
        <f t="shared" si="0"/>
        <v>1700</v>
      </c>
      <c r="H51" s="24" t="str">
        <f t="shared" si="1"/>
        <v>Abor Feed|GM</v>
      </c>
    </row>
    <row r="52" spans="1:8">
      <c r="A52" s="27">
        <v>46142</v>
      </c>
      <c r="B52" s="23" t="s">
        <v>104</v>
      </c>
      <c r="C52" s="24" t="s">
        <v>20</v>
      </c>
      <c r="D52" s="24" t="s">
        <v>13</v>
      </c>
      <c r="E52" s="24">
        <v>8</v>
      </c>
      <c r="F52" s="24">
        <v>352</v>
      </c>
      <c r="G52" s="24">
        <f t="shared" si="0"/>
        <v>2816</v>
      </c>
      <c r="H52" s="24" t="str">
        <f t="shared" si="1"/>
        <v>Mobile Shop|LM</v>
      </c>
    </row>
    <row r="53" spans="1:8">
      <c r="A53" s="27">
        <v>46142</v>
      </c>
      <c r="B53" s="23" t="s">
        <v>104</v>
      </c>
      <c r="C53" s="24" t="s">
        <v>20</v>
      </c>
      <c r="D53" s="24" t="s">
        <v>28</v>
      </c>
      <c r="E53" s="24">
        <v>10</v>
      </c>
      <c r="F53" s="24">
        <v>730</v>
      </c>
      <c r="G53" s="24">
        <f t="shared" si="0"/>
        <v>7300</v>
      </c>
      <c r="H53" s="24" t="str">
        <f t="shared" si="1"/>
        <v>Mobile Shop|Hend 5%</v>
      </c>
    </row>
    <row r="54" spans="1:8">
      <c r="A54" s="27">
        <v>46142</v>
      </c>
      <c r="B54" s="23"/>
      <c r="C54" s="24"/>
      <c r="D54" s="24"/>
      <c r="E54" s="24"/>
      <c r="F54" s="24"/>
      <c r="G54" s="24" t="str">
        <f t="shared" si="0"/>
        <v/>
      </c>
      <c r="H54" s="24" t="str">
        <f t="shared" si="1"/>
        <v/>
      </c>
    </row>
    <row r="55" spans="1:8">
      <c r="A55" s="27">
        <v>46142</v>
      </c>
      <c r="B55" s="23"/>
      <c r="C55" s="24"/>
      <c r="D55" s="24"/>
      <c r="E55" s="24"/>
      <c r="F55" s="24"/>
      <c r="G55" s="24" t="str">
        <f t="shared" si="0"/>
        <v/>
      </c>
      <c r="H55" s="24" t="str">
        <f t="shared" si="1"/>
        <v/>
      </c>
    </row>
    <row r="56" spans="1:8">
      <c r="A56" s="27">
        <v>46142</v>
      </c>
      <c r="B56" s="23"/>
      <c r="C56" s="24"/>
      <c r="D56" s="24"/>
      <c r="E56" s="24"/>
      <c r="F56" s="24"/>
      <c r="G56" s="24" t="str">
        <f t="shared" si="0"/>
        <v/>
      </c>
      <c r="H56" s="24" t="str">
        <f t="shared" si="1"/>
        <v/>
      </c>
    </row>
    <row r="57" spans="1:8">
      <c r="A57" s="24"/>
      <c r="B57" s="23"/>
      <c r="C57" s="24"/>
      <c r="D57" s="24"/>
      <c r="E57" s="24"/>
      <c r="F57" s="24"/>
      <c r="G57" s="24" t="str">
        <f t="shared" si="0"/>
        <v/>
      </c>
      <c r="H57" s="24" t="str">
        <f t="shared" si="1"/>
        <v/>
      </c>
    </row>
    <row r="58" spans="1:8">
      <c r="A58" s="24"/>
      <c r="B58" s="23"/>
      <c r="C58" s="24"/>
      <c r="D58" s="24"/>
      <c r="E58" s="24"/>
      <c r="F58" s="24"/>
      <c r="G58" s="24" t="str">
        <f t="shared" si="0"/>
        <v/>
      </c>
      <c r="H58" s="24" t="str">
        <f t="shared" si="1"/>
        <v/>
      </c>
    </row>
    <row r="59" spans="1:8">
      <c r="A59" s="24"/>
      <c r="B59" s="23"/>
      <c r="C59" s="24"/>
      <c r="D59" s="24"/>
      <c r="E59" s="24"/>
      <c r="F59" s="24"/>
      <c r="G59" s="24" t="str">
        <f t="shared" si="0"/>
        <v/>
      </c>
      <c r="H59" s="24" t="str">
        <f t="shared" si="1"/>
        <v/>
      </c>
    </row>
    <row r="60" spans="1:8">
      <c r="A60" s="24"/>
      <c r="B60" s="23"/>
      <c r="C60" s="24"/>
      <c r="D60" s="24"/>
      <c r="E60" s="24"/>
      <c r="F60" s="24"/>
      <c r="G60" s="24" t="str">
        <f t="shared" si="0"/>
        <v/>
      </c>
      <c r="H60" s="24" t="str">
        <f t="shared" si="1"/>
        <v/>
      </c>
    </row>
    <row r="61" spans="1:8">
      <c r="A61" s="24"/>
      <c r="B61" s="23"/>
      <c r="C61" s="24"/>
      <c r="D61" s="24"/>
      <c r="E61" s="24"/>
      <c r="F61" s="24"/>
      <c r="G61" s="24" t="str">
        <f t="shared" si="0"/>
        <v/>
      </c>
      <c r="H61" s="24" t="str">
        <f t="shared" si="1"/>
        <v/>
      </c>
    </row>
    <row r="62" spans="1:8">
      <c r="A62" s="24"/>
      <c r="B62" s="23"/>
      <c r="C62" s="24"/>
      <c r="D62" s="24"/>
      <c r="E62" s="24"/>
      <c r="F62" s="24"/>
      <c r="G62" s="24" t="str">
        <f t="shared" si="0"/>
        <v/>
      </c>
      <c r="H62" s="24" t="str">
        <f t="shared" si="1"/>
        <v/>
      </c>
    </row>
    <row r="63" spans="1:8">
      <c r="A63" s="24"/>
      <c r="B63" s="23"/>
      <c r="C63" s="24"/>
      <c r="D63" s="24"/>
      <c r="E63" s="24"/>
      <c r="F63" s="24"/>
      <c r="G63" s="24" t="str">
        <f t="shared" si="0"/>
        <v/>
      </c>
      <c r="H63" s="24" t="str">
        <f t="shared" si="1"/>
        <v/>
      </c>
    </row>
    <row r="64" spans="1:8">
      <c r="A64" s="24"/>
      <c r="B64" s="23"/>
      <c r="C64" s="24"/>
      <c r="D64" s="24"/>
      <c r="E64" s="24"/>
      <c r="F64" s="24"/>
      <c r="G64" s="24" t="str">
        <f t="shared" si="0"/>
        <v/>
      </c>
      <c r="H64" s="24" t="str">
        <f t="shared" si="1"/>
        <v/>
      </c>
    </row>
    <row r="65" spans="1:8">
      <c r="A65" s="24"/>
      <c r="B65" s="23"/>
      <c r="C65" s="24"/>
      <c r="D65" s="24"/>
      <c r="E65" s="24"/>
      <c r="F65" s="24"/>
      <c r="G65" s="24" t="str">
        <f t="shared" si="0"/>
        <v/>
      </c>
      <c r="H65" s="24" t="str">
        <f t="shared" si="1"/>
        <v/>
      </c>
    </row>
    <row r="66" spans="1:8">
      <c r="A66" s="24"/>
      <c r="B66" s="23"/>
      <c r="C66" s="24"/>
      <c r="D66" s="24"/>
      <c r="E66" s="24"/>
      <c r="F66" s="24"/>
      <c r="G66" s="24" t="str">
        <f t="shared" si="0"/>
        <v/>
      </c>
      <c r="H66" s="24" t="str">
        <f t="shared" si="1"/>
        <v/>
      </c>
    </row>
    <row r="67" spans="1:8">
      <c r="A67" s="24"/>
      <c r="B67" s="23"/>
      <c r="C67" s="24"/>
      <c r="D67" s="24"/>
      <c r="E67" s="24"/>
      <c r="F67" s="24"/>
      <c r="G67" s="24" t="str">
        <f t="shared" ref="G67:G130" si="2">IF(OR(E67="",F67=""),"",E67*F67)</f>
        <v/>
      </c>
      <c r="H67" s="24" t="str">
        <f t="shared" ref="H67:H130" si="3">IF(OR(C67="",D67=""),"",C67&amp;"|"&amp;D67)</f>
        <v/>
      </c>
    </row>
    <row r="68" spans="1:8">
      <c r="B68" s="21"/>
      <c r="G68" t="str">
        <f t="shared" si="2"/>
        <v/>
      </c>
      <c r="H68" t="str">
        <f t="shared" si="3"/>
        <v/>
      </c>
    </row>
    <row r="69" spans="1:8">
      <c r="B69" s="3"/>
      <c r="G69" t="str">
        <f t="shared" si="2"/>
        <v/>
      </c>
      <c r="H69" t="str">
        <f t="shared" si="3"/>
        <v/>
      </c>
    </row>
    <row r="70" spans="1:8">
      <c r="B70" s="3"/>
      <c r="G70" t="str">
        <f t="shared" si="2"/>
        <v/>
      </c>
      <c r="H70" t="str">
        <f t="shared" si="3"/>
        <v/>
      </c>
    </row>
    <row r="71" spans="1:8">
      <c r="B71" s="3"/>
      <c r="G71" t="str">
        <f t="shared" si="2"/>
        <v/>
      </c>
      <c r="H71" t="str">
        <f t="shared" si="3"/>
        <v/>
      </c>
    </row>
    <row r="72" spans="1:8">
      <c r="B72" s="3"/>
      <c r="G72" t="str">
        <f t="shared" si="2"/>
        <v/>
      </c>
      <c r="H72" t="str">
        <f t="shared" si="3"/>
        <v/>
      </c>
    </row>
    <row r="73" spans="1:8">
      <c r="B73" s="3"/>
      <c r="G73" t="str">
        <f t="shared" si="2"/>
        <v/>
      </c>
      <c r="H73" t="str">
        <f t="shared" si="3"/>
        <v/>
      </c>
    </row>
    <row r="74" spans="1:8">
      <c r="B74" s="3"/>
      <c r="G74" t="str">
        <f t="shared" si="2"/>
        <v/>
      </c>
      <c r="H74" t="str">
        <f t="shared" si="3"/>
        <v/>
      </c>
    </row>
    <row r="75" spans="1:8">
      <c r="B75" s="3"/>
      <c r="G75" t="str">
        <f t="shared" si="2"/>
        <v/>
      </c>
      <c r="H75" t="str">
        <f t="shared" si="3"/>
        <v/>
      </c>
    </row>
    <row r="76" spans="1:8">
      <c r="B76" s="3"/>
      <c r="G76" t="str">
        <f t="shared" si="2"/>
        <v/>
      </c>
      <c r="H76" t="str">
        <f t="shared" si="3"/>
        <v/>
      </c>
    </row>
    <row r="77" spans="1:8">
      <c r="B77" s="3"/>
      <c r="G77" t="str">
        <f t="shared" si="2"/>
        <v/>
      </c>
      <c r="H77" t="str">
        <f t="shared" si="3"/>
        <v/>
      </c>
    </row>
    <row r="78" spans="1:8">
      <c r="B78" s="3"/>
      <c r="G78" t="str">
        <f t="shared" si="2"/>
        <v/>
      </c>
      <c r="H78" t="str">
        <f t="shared" si="3"/>
        <v/>
      </c>
    </row>
    <row r="79" spans="1:8">
      <c r="B79" s="3"/>
      <c r="G79" t="str">
        <f t="shared" si="2"/>
        <v/>
      </c>
      <c r="H79" t="str">
        <f t="shared" si="3"/>
        <v/>
      </c>
    </row>
    <row r="80" spans="1:8">
      <c r="B80" s="3"/>
      <c r="G80" t="str">
        <f t="shared" si="2"/>
        <v/>
      </c>
      <c r="H80" t="str">
        <f t="shared" si="3"/>
        <v/>
      </c>
    </row>
    <row r="81" spans="2:8">
      <c r="B81" s="3"/>
      <c r="G81" t="str">
        <f t="shared" si="2"/>
        <v/>
      </c>
      <c r="H81" t="str">
        <f t="shared" si="3"/>
        <v/>
      </c>
    </row>
    <row r="82" spans="2:8">
      <c r="B82" s="3"/>
      <c r="G82" t="str">
        <f t="shared" si="2"/>
        <v/>
      </c>
      <c r="H82" t="str">
        <f t="shared" si="3"/>
        <v/>
      </c>
    </row>
    <row r="83" spans="2:8">
      <c r="B83" s="3"/>
      <c r="G83" t="str">
        <f t="shared" si="2"/>
        <v/>
      </c>
      <c r="H83" t="str">
        <f t="shared" si="3"/>
        <v/>
      </c>
    </row>
    <row r="84" spans="2:8">
      <c r="B84" s="3"/>
      <c r="G84" t="str">
        <f t="shared" si="2"/>
        <v/>
      </c>
      <c r="H84" t="str">
        <f t="shared" si="3"/>
        <v/>
      </c>
    </row>
    <row r="85" spans="2:8">
      <c r="B85" s="3"/>
      <c r="G85" t="str">
        <f t="shared" si="2"/>
        <v/>
      </c>
      <c r="H85" t="str">
        <f t="shared" si="3"/>
        <v/>
      </c>
    </row>
    <row r="86" spans="2:8">
      <c r="B86" s="3"/>
      <c r="G86" t="str">
        <f t="shared" si="2"/>
        <v/>
      </c>
      <c r="H86" t="str">
        <f t="shared" si="3"/>
        <v/>
      </c>
    </row>
    <row r="87" spans="2:8">
      <c r="B87" s="3"/>
      <c r="G87" t="str">
        <f t="shared" si="2"/>
        <v/>
      </c>
      <c r="H87" t="str">
        <f t="shared" si="3"/>
        <v/>
      </c>
    </row>
    <row r="88" spans="2:8">
      <c r="B88" s="3"/>
      <c r="G88" t="str">
        <f t="shared" si="2"/>
        <v/>
      </c>
      <c r="H88" t="str">
        <f t="shared" si="3"/>
        <v/>
      </c>
    </row>
    <row r="89" spans="2:8">
      <c r="B89" s="3"/>
      <c r="G89" t="str">
        <f t="shared" si="2"/>
        <v/>
      </c>
      <c r="H89" t="str">
        <f t="shared" si="3"/>
        <v/>
      </c>
    </row>
    <row r="90" spans="2:8">
      <c r="B90" s="3"/>
      <c r="G90" t="str">
        <f t="shared" si="2"/>
        <v/>
      </c>
      <c r="H90" t="str">
        <f t="shared" si="3"/>
        <v/>
      </c>
    </row>
    <row r="91" spans="2:8">
      <c r="B91" s="3"/>
      <c r="G91" t="str">
        <f t="shared" si="2"/>
        <v/>
      </c>
      <c r="H91" t="str">
        <f t="shared" si="3"/>
        <v/>
      </c>
    </row>
    <row r="92" spans="2:8">
      <c r="B92" s="3"/>
      <c r="G92" t="str">
        <f t="shared" si="2"/>
        <v/>
      </c>
      <c r="H92" t="str">
        <f t="shared" si="3"/>
        <v/>
      </c>
    </row>
    <row r="93" spans="2:8">
      <c r="B93" s="3"/>
      <c r="G93" t="str">
        <f t="shared" si="2"/>
        <v/>
      </c>
      <c r="H93" t="str">
        <f t="shared" si="3"/>
        <v/>
      </c>
    </row>
    <row r="94" spans="2:8">
      <c r="B94" s="3"/>
      <c r="G94" t="str">
        <f t="shared" si="2"/>
        <v/>
      </c>
      <c r="H94" t="str">
        <f t="shared" si="3"/>
        <v/>
      </c>
    </row>
    <row r="95" spans="2:8">
      <c r="B95" s="3"/>
      <c r="G95" t="str">
        <f t="shared" si="2"/>
        <v/>
      </c>
      <c r="H95" t="str">
        <f t="shared" si="3"/>
        <v/>
      </c>
    </row>
    <row r="96" spans="2:8">
      <c r="B96" s="3"/>
      <c r="G96" t="str">
        <f t="shared" si="2"/>
        <v/>
      </c>
      <c r="H96" t="str">
        <f t="shared" si="3"/>
        <v/>
      </c>
    </row>
    <row r="97" spans="2:8">
      <c r="B97" s="3"/>
      <c r="G97" t="str">
        <f t="shared" si="2"/>
        <v/>
      </c>
      <c r="H97" t="str">
        <f t="shared" si="3"/>
        <v/>
      </c>
    </row>
    <row r="98" spans="2:8">
      <c r="B98" s="3"/>
      <c r="G98" t="str">
        <f t="shared" si="2"/>
        <v/>
      </c>
      <c r="H98" t="str">
        <f t="shared" si="3"/>
        <v/>
      </c>
    </row>
    <row r="99" spans="2:8">
      <c r="B99" s="3"/>
      <c r="G99" t="str">
        <f t="shared" si="2"/>
        <v/>
      </c>
      <c r="H99" t="str">
        <f t="shared" si="3"/>
        <v/>
      </c>
    </row>
    <row r="100" spans="2:8">
      <c r="B100" s="3"/>
      <c r="G100" t="str">
        <f t="shared" si="2"/>
        <v/>
      </c>
      <c r="H100" t="str">
        <f t="shared" si="3"/>
        <v/>
      </c>
    </row>
    <row r="101" spans="2:8">
      <c r="B101" s="3"/>
      <c r="G101" t="str">
        <f t="shared" si="2"/>
        <v/>
      </c>
      <c r="H101" t="str">
        <f t="shared" si="3"/>
        <v/>
      </c>
    </row>
    <row r="102" spans="2:8">
      <c r="B102" s="3"/>
      <c r="G102" t="str">
        <f t="shared" si="2"/>
        <v/>
      </c>
      <c r="H102" t="str">
        <f t="shared" si="3"/>
        <v/>
      </c>
    </row>
    <row r="103" spans="2:8">
      <c r="B103" s="3"/>
      <c r="G103" t="str">
        <f t="shared" si="2"/>
        <v/>
      </c>
      <c r="H103" t="str">
        <f t="shared" si="3"/>
        <v/>
      </c>
    </row>
    <row r="104" spans="2:8">
      <c r="B104" s="3"/>
      <c r="G104" t="str">
        <f t="shared" si="2"/>
        <v/>
      </c>
      <c r="H104" t="str">
        <f t="shared" si="3"/>
        <v/>
      </c>
    </row>
    <row r="105" spans="2:8">
      <c r="B105" s="3"/>
      <c r="G105" t="str">
        <f t="shared" si="2"/>
        <v/>
      </c>
      <c r="H105" t="str">
        <f t="shared" si="3"/>
        <v/>
      </c>
    </row>
    <row r="106" spans="2:8">
      <c r="B106" s="3"/>
      <c r="G106" t="str">
        <f t="shared" si="2"/>
        <v/>
      </c>
      <c r="H106" t="str">
        <f t="shared" si="3"/>
        <v/>
      </c>
    </row>
    <row r="107" spans="2:8">
      <c r="B107" s="3"/>
      <c r="G107" t="str">
        <f t="shared" si="2"/>
        <v/>
      </c>
      <c r="H107" t="str">
        <f t="shared" si="3"/>
        <v/>
      </c>
    </row>
    <row r="108" spans="2:8">
      <c r="B108" s="3"/>
      <c r="G108" t="str">
        <f t="shared" si="2"/>
        <v/>
      </c>
      <c r="H108" t="str">
        <f t="shared" si="3"/>
        <v/>
      </c>
    </row>
    <row r="109" spans="2:8">
      <c r="B109" s="3"/>
      <c r="G109" t="str">
        <f t="shared" si="2"/>
        <v/>
      </c>
      <c r="H109" t="str">
        <f t="shared" si="3"/>
        <v/>
      </c>
    </row>
    <row r="110" spans="2:8">
      <c r="B110" s="3"/>
      <c r="G110" t="str">
        <f t="shared" si="2"/>
        <v/>
      </c>
      <c r="H110" t="str">
        <f t="shared" si="3"/>
        <v/>
      </c>
    </row>
    <row r="111" spans="2:8">
      <c r="B111" s="3"/>
      <c r="G111" t="str">
        <f t="shared" si="2"/>
        <v/>
      </c>
      <c r="H111" t="str">
        <f t="shared" si="3"/>
        <v/>
      </c>
    </row>
    <row r="112" spans="2:8">
      <c r="B112" s="3"/>
      <c r="G112" t="str">
        <f t="shared" si="2"/>
        <v/>
      </c>
      <c r="H112" t="str">
        <f t="shared" si="3"/>
        <v/>
      </c>
    </row>
    <row r="113" spans="2:8">
      <c r="B113" s="3"/>
      <c r="G113" t="str">
        <f t="shared" si="2"/>
        <v/>
      </c>
      <c r="H113" t="str">
        <f t="shared" si="3"/>
        <v/>
      </c>
    </row>
    <row r="114" spans="2:8">
      <c r="B114" s="3"/>
      <c r="G114" t="str">
        <f t="shared" si="2"/>
        <v/>
      </c>
      <c r="H114" t="str">
        <f t="shared" si="3"/>
        <v/>
      </c>
    </row>
    <row r="115" spans="2:8">
      <c r="B115" s="3"/>
      <c r="G115" t="str">
        <f t="shared" si="2"/>
        <v/>
      </c>
      <c r="H115" t="str">
        <f t="shared" si="3"/>
        <v/>
      </c>
    </row>
    <row r="116" spans="2:8">
      <c r="B116" s="3"/>
      <c r="G116" t="str">
        <f t="shared" si="2"/>
        <v/>
      </c>
      <c r="H116" t="str">
        <f t="shared" si="3"/>
        <v/>
      </c>
    </row>
    <row r="117" spans="2:8">
      <c r="B117" s="3"/>
      <c r="G117" t="str">
        <f t="shared" si="2"/>
        <v/>
      </c>
      <c r="H117" t="str">
        <f t="shared" si="3"/>
        <v/>
      </c>
    </row>
    <row r="118" spans="2:8">
      <c r="B118" s="3"/>
      <c r="G118" t="str">
        <f t="shared" si="2"/>
        <v/>
      </c>
      <c r="H118" t="str">
        <f t="shared" si="3"/>
        <v/>
      </c>
    </row>
    <row r="119" spans="2:8">
      <c r="B119" s="3"/>
      <c r="G119" t="str">
        <f t="shared" si="2"/>
        <v/>
      </c>
      <c r="H119" t="str">
        <f t="shared" si="3"/>
        <v/>
      </c>
    </row>
    <row r="120" spans="2:8">
      <c r="B120" s="3"/>
      <c r="G120" t="str">
        <f t="shared" si="2"/>
        <v/>
      </c>
      <c r="H120" t="str">
        <f t="shared" si="3"/>
        <v/>
      </c>
    </row>
    <row r="121" spans="2:8">
      <c r="B121" s="3"/>
      <c r="G121" t="str">
        <f t="shared" si="2"/>
        <v/>
      </c>
      <c r="H121" t="str">
        <f t="shared" si="3"/>
        <v/>
      </c>
    </row>
    <row r="122" spans="2:8">
      <c r="B122" s="3"/>
      <c r="G122" t="str">
        <f t="shared" si="2"/>
        <v/>
      </c>
      <c r="H122" t="str">
        <f t="shared" si="3"/>
        <v/>
      </c>
    </row>
    <row r="123" spans="2:8">
      <c r="B123" s="3"/>
      <c r="G123" t="str">
        <f t="shared" si="2"/>
        <v/>
      </c>
      <c r="H123" t="str">
        <f t="shared" si="3"/>
        <v/>
      </c>
    </row>
    <row r="124" spans="2:8">
      <c r="B124" s="3"/>
      <c r="G124" t="str">
        <f t="shared" si="2"/>
        <v/>
      </c>
      <c r="H124" t="str">
        <f t="shared" si="3"/>
        <v/>
      </c>
    </row>
    <row r="125" spans="2:8">
      <c r="B125" s="3"/>
      <c r="G125" t="str">
        <f t="shared" si="2"/>
        <v/>
      </c>
      <c r="H125" t="str">
        <f t="shared" si="3"/>
        <v/>
      </c>
    </row>
    <row r="126" spans="2:8">
      <c r="B126" s="3"/>
      <c r="G126" t="str">
        <f t="shared" si="2"/>
        <v/>
      </c>
      <c r="H126" t="str">
        <f t="shared" si="3"/>
        <v/>
      </c>
    </row>
    <row r="127" spans="2:8">
      <c r="B127" s="3"/>
      <c r="G127" t="str">
        <f t="shared" si="2"/>
        <v/>
      </c>
      <c r="H127" t="str">
        <f t="shared" si="3"/>
        <v/>
      </c>
    </row>
    <row r="128" spans="2:8">
      <c r="B128" s="3"/>
      <c r="G128" t="str">
        <f t="shared" si="2"/>
        <v/>
      </c>
      <c r="H128" t="str">
        <f t="shared" si="3"/>
        <v/>
      </c>
    </row>
    <row r="129" spans="2:8">
      <c r="B129" s="3"/>
      <c r="G129" t="str">
        <f t="shared" si="2"/>
        <v/>
      </c>
      <c r="H129" t="str">
        <f t="shared" si="3"/>
        <v/>
      </c>
    </row>
    <row r="130" spans="2:8">
      <c r="B130" s="3"/>
      <c r="G130" t="str">
        <f t="shared" si="2"/>
        <v/>
      </c>
      <c r="H130" t="str">
        <f t="shared" si="3"/>
        <v/>
      </c>
    </row>
    <row r="131" spans="2:8">
      <c r="B131" s="3"/>
      <c r="G131" t="str">
        <f t="shared" ref="G131:G194" si="4">IF(OR(E131="",F131=""),"",E131*F131)</f>
        <v/>
      </c>
      <c r="H131" t="str">
        <f t="shared" ref="H131:H194" si="5">IF(OR(C131="",D131=""),"",C131&amp;"|"&amp;D131)</f>
        <v/>
      </c>
    </row>
    <row r="132" spans="2:8">
      <c r="B132" s="3"/>
      <c r="G132" t="str">
        <f t="shared" si="4"/>
        <v/>
      </c>
      <c r="H132" t="str">
        <f t="shared" si="5"/>
        <v/>
      </c>
    </row>
    <row r="133" spans="2:8">
      <c r="B133" s="3"/>
      <c r="G133" t="str">
        <f t="shared" si="4"/>
        <v/>
      </c>
      <c r="H133" t="str">
        <f t="shared" si="5"/>
        <v/>
      </c>
    </row>
    <row r="134" spans="2:8">
      <c r="B134" s="3"/>
      <c r="G134" t="str">
        <f t="shared" si="4"/>
        <v/>
      </c>
      <c r="H134" t="str">
        <f t="shared" si="5"/>
        <v/>
      </c>
    </row>
    <row r="135" spans="2:8">
      <c r="B135" s="3"/>
      <c r="G135" t="str">
        <f t="shared" si="4"/>
        <v/>
      </c>
      <c r="H135" t="str">
        <f t="shared" si="5"/>
        <v/>
      </c>
    </row>
    <row r="136" spans="2:8">
      <c r="B136" s="3"/>
      <c r="G136" t="str">
        <f t="shared" si="4"/>
        <v/>
      </c>
      <c r="H136" t="str">
        <f t="shared" si="5"/>
        <v/>
      </c>
    </row>
    <row r="137" spans="2:8">
      <c r="B137" s="3"/>
      <c r="G137" t="str">
        <f t="shared" si="4"/>
        <v/>
      </c>
      <c r="H137" t="str">
        <f t="shared" si="5"/>
        <v/>
      </c>
    </row>
    <row r="138" spans="2:8">
      <c r="B138" s="3"/>
      <c r="G138" t="str">
        <f t="shared" si="4"/>
        <v/>
      </c>
      <c r="H138" t="str">
        <f t="shared" si="5"/>
        <v/>
      </c>
    </row>
    <row r="139" spans="2:8">
      <c r="B139" s="3"/>
      <c r="G139" t="str">
        <f t="shared" si="4"/>
        <v/>
      </c>
      <c r="H139" t="str">
        <f t="shared" si="5"/>
        <v/>
      </c>
    </row>
    <row r="140" spans="2:8">
      <c r="B140" s="3"/>
      <c r="G140" t="str">
        <f t="shared" si="4"/>
        <v/>
      </c>
      <c r="H140" t="str">
        <f t="shared" si="5"/>
        <v/>
      </c>
    </row>
    <row r="141" spans="2:8">
      <c r="B141" s="3"/>
      <c r="G141" t="str">
        <f t="shared" si="4"/>
        <v/>
      </c>
      <c r="H141" t="str">
        <f t="shared" si="5"/>
        <v/>
      </c>
    </row>
    <row r="142" spans="2:8">
      <c r="B142" s="3"/>
      <c r="G142" t="str">
        <f t="shared" si="4"/>
        <v/>
      </c>
      <c r="H142" t="str">
        <f t="shared" si="5"/>
        <v/>
      </c>
    </row>
    <row r="143" spans="2:8">
      <c r="B143" s="3"/>
      <c r="G143" t="str">
        <f t="shared" si="4"/>
        <v/>
      </c>
      <c r="H143" t="str">
        <f t="shared" si="5"/>
        <v/>
      </c>
    </row>
    <row r="144" spans="2:8">
      <c r="B144" s="3"/>
      <c r="G144" t="str">
        <f t="shared" si="4"/>
        <v/>
      </c>
      <c r="H144" t="str">
        <f t="shared" si="5"/>
        <v/>
      </c>
    </row>
    <row r="145" spans="2:8">
      <c r="B145" s="3"/>
      <c r="G145" t="str">
        <f t="shared" si="4"/>
        <v/>
      </c>
      <c r="H145" t="str">
        <f t="shared" si="5"/>
        <v/>
      </c>
    </row>
    <row r="146" spans="2:8">
      <c r="B146" s="3"/>
      <c r="G146" t="str">
        <f t="shared" si="4"/>
        <v/>
      </c>
      <c r="H146" t="str">
        <f t="shared" si="5"/>
        <v/>
      </c>
    </row>
    <row r="147" spans="2:8">
      <c r="B147" s="3"/>
      <c r="G147" t="str">
        <f t="shared" si="4"/>
        <v/>
      </c>
      <c r="H147" t="str">
        <f t="shared" si="5"/>
        <v/>
      </c>
    </row>
    <row r="148" spans="2:8">
      <c r="B148" s="3"/>
      <c r="G148" t="str">
        <f t="shared" si="4"/>
        <v/>
      </c>
      <c r="H148" t="str">
        <f t="shared" si="5"/>
        <v/>
      </c>
    </row>
    <row r="149" spans="2:8">
      <c r="B149" s="3"/>
      <c r="G149" t="str">
        <f t="shared" si="4"/>
        <v/>
      </c>
      <c r="H149" t="str">
        <f t="shared" si="5"/>
        <v/>
      </c>
    </row>
    <row r="150" spans="2:8">
      <c r="B150" s="3"/>
      <c r="G150" t="str">
        <f t="shared" si="4"/>
        <v/>
      </c>
      <c r="H150" t="str">
        <f t="shared" si="5"/>
        <v/>
      </c>
    </row>
    <row r="151" spans="2:8">
      <c r="B151" s="3"/>
      <c r="G151" t="str">
        <f t="shared" si="4"/>
        <v/>
      </c>
      <c r="H151" t="str">
        <f t="shared" si="5"/>
        <v/>
      </c>
    </row>
    <row r="152" spans="2:8">
      <c r="B152" s="3"/>
      <c r="G152" t="str">
        <f t="shared" si="4"/>
        <v/>
      </c>
      <c r="H152" t="str">
        <f t="shared" si="5"/>
        <v/>
      </c>
    </row>
    <row r="153" spans="2:8">
      <c r="B153" s="3"/>
      <c r="G153" t="str">
        <f t="shared" si="4"/>
        <v/>
      </c>
      <c r="H153" t="str">
        <f t="shared" si="5"/>
        <v/>
      </c>
    </row>
    <row r="154" spans="2:8">
      <c r="B154" s="3"/>
      <c r="G154" t="str">
        <f t="shared" si="4"/>
        <v/>
      </c>
      <c r="H154" t="str">
        <f t="shared" si="5"/>
        <v/>
      </c>
    </row>
    <row r="155" spans="2:8">
      <c r="B155" s="3"/>
      <c r="G155" t="str">
        <f t="shared" si="4"/>
        <v/>
      </c>
      <c r="H155" t="str">
        <f t="shared" si="5"/>
        <v/>
      </c>
    </row>
    <row r="156" spans="2:8">
      <c r="B156" s="3"/>
      <c r="G156" t="str">
        <f t="shared" si="4"/>
        <v/>
      </c>
      <c r="H156" t="str">
        <f t="shared" si="5"/>
        <v/>
      </c>
    </row>
    <row r="157" spans="2:8">
      <c r="B157" s="3"/>
      <c r="G157" t="str">
        <f t="shared" si="4"/>
        <v/>
      </c>
      <c r="H157" t="str">
        <f t="shared" si="5"/>
        <v/>
      </c>
    </row>
    <row r="158" spans="2:8">
      <c r="B158" s="3"/>
      <c r="G158" t="str">
        <f t="shared" si="4"/>
        <v/>
      </c>
      <c r="H158" t="str">
        <f t="shared" si="5"/>
        <v/>
      </c>
    </row>
    <row r="159" spans="2:8">
      <c r="B159" s="3"/>
      <c r="G159" t="str">
        <f t="shared" si="4"/>
        <v/>
      </c>
      <c r="H159" t="str">
        <f t="shared" si="5"/>
        <v/>
      </c>
    </row>
    <row r="160" spans="2:8">
      <c r="B160" s="3"/>
      <c r="G160" t="str">
        <f t="shared" si="4"/>
        <v/>
      </c>
      <c r="H160" t="str">
        <f t="shared" si="5"/>
        <v/>
      </c>
    </row>
    <row r="161" spans="2:8">
      <c r="B161" s="3"/>
      <c r="G161" t="str">
        <f t="shared" si="4"/>
        <v/>
      </c>
      <c r="H161" t="str">
        <f t="shared" si="5"/>
        <v/>
      </c>
    </row>
    <row r="162" spans="2:8">
      <c r="B162" s="3"/>
      <c r="G162" t="str">
        <f t="shared" si="4"/>
        <v/>
      </c>
      <c r="H162" t="str">
        <f t="shared" si="5"/>
        <v/>
      </c>
    </row>
    <row r="163" spans="2:8">
      <c r="B163" s="3"/>
      <c r="G163" t="str">
        <f t="shared" si="4"/>
        <v/>
      </c>
      <c r="H163" t="str">
        <f t="shared" si="5"/>
        <v/>
      </c>
    </row>
    <row r="164" spans="2:8">
      <c r="B164" s="3"/>
      <c r="G164" t="str">
        <f t="shared" si="4"/>
        <v/>
      </c>
      <c r="H164" t="str">
        <f t="shared" si="5"/>
        <v/>
      </c>
    </row>
    <row r="165" spans="2:8">
      <c r="B165" s="3"/>
      <c r="G165" t="str">
        <f t="shared" si="4"/>
        <v/>
      </c>
      <c r="H165" t="str">
        <f t="shared" si="5"/>
        <v/>
      </c>
    </row>
    <row r="166" spans="2:8">
      <c r="B166" s="3"/>
      <c r="G166" t="str">
        <f t="shared" si="4"/>
        <v/>
      </c>
      <c r="H166" t="str">
        <f t="shared" si="5"/>
        <v/>
      </c>
    </row>
    <row r="167" spans="2:8">
      <c r="B167" s="3"/>
      <c r="G167" t="str">
        <f t="shared" si="4"/>
        <v/>
      </c>
      <c r="H167" t="str">
        <f t="shared" si="5"/>
        <v/>
      </c>
    </row>
    <row r="168" spans="2:8">
      <c r="B168" s="3"/>
      <c r="G168" t="str">
        <f t="shared" si="4"/>
        <v/>
      </c>
      <c r="H168" t="str">
        <f t="shared" si="5"/>
        <v/>
      </c>
    </row>
    <row r="169" spans="2:8">
      <c r="B169" s="3"/>
      <c r="G169" t="str">
        <f t="shared" si="4"/>
        <v/>
      </c>
      <c r="H169" t="str">
        <f t="shared" si="5"/>
        <v/>
      </c>
    </row>
    <row r="170" spans="2:8">
      <c r="B170" s="3"/>
      <c r="G170" t="str">
        <f t="shared" si="4"/>
        <v/>
      </c>
      <c r="H170" t="str">
        <f t="shared" si="5"/>
        <v/>
      </c>
    </row>
    <row r="171" spans="2:8">
      <c r="B171" s="3"/>
      <c r="G171" t="str">
        <f t="shared" si="4"/>
        <v/>
      </c>
      <c r="H171" t="str">
        <f t="shared" si="5"/>
        <v/>
      </c>
    </row>
    <row r="172" spans="2:8">
      <c r="B172" s="3"/>
      <c r="G172" t="str">
        <f t="shared" si="4"/>
        <v/>
      </c>
      <c r="H172" t="str">
        <f t="shared" si="5"/>
        <v/>
      </c>
    </row>
    <row r="173" spans="2:8">
      <c r="B173" s="3"/>
      <c r="G173" t="str">
        <f t="shared" si="4"/>
        <v/>
      </c>
      <c r="H173" t="str">
        <f t="shared" si="5"/>
        <v/>
      </c>
    </row>
    <row r="174" spans="2:8">
      <c r="B174" s="3"/>
      <c r="G174" t="str">
        <f t="shared" si="4"/>
        <v/>
      </c>
      <c r="H174" t="str">
        <f t="shared" si="5"/>
        <v/>
      </c>
    </row>
    <row r="175" spans="2:8">
      <c r="B175" s="3"/>
      <c r="G175" t="str">
        <f t="shared" si="4"/>
        <v/>
      </c>
      <c r="H175" t="str">
        <f t="shared" si="5"/>
        <v/>
      </c>
    </row>
    <row r="176" spans="2:8">
      <c r="B176" s="3"/>
      <c r="G176" t="str">
        <f t="shared" si="4"/>
        <v/>
      </c>
      <c r="H176" t="str">
        <f t="shared" si="5"/>
        <v/>
      </c>
    </row>
    <row r="177" spans="2:8">
      <c r="B177" s="3"/>
      <c r="G177" t="str">
        <f t="shared" si="4"/>
        <v/>
      </c>
      <c r="H177" t="str">
        <f t="shared" si="5"/>
        <v/>
      </c>
    </row>
    <row r="178" spans="2:8">
      <c r="B178" s="3"/>
      <c r="G178" t="str">
        <f t="shared" si="4"/>
        <v/>
      </c>
      <c r="H178" t="str">
        <f t="shared" si="5"/>
        <v/>
      </c>
    </row>
    <row r="179" spans="2:8">
      <c r="B179" s="3"/>
      <c r="G179" t="str">
        <f t="shared" si="4"/>
        <v/>
      </c>
      <c r="H179" t="str">
        <f t="shared" si="5"/>
        <v/>
      </c>
    </row>
    <row r="180" spans="2:8">
      <c r="B180" s="3"/>
      <c r="G180" t="str">
        <f t="shared" si="4"/>
        <v/>
      </c>
      <c r="H180" t="str">
        <f t="shared" si="5"/>
        <v/>
      </c>
    </row>
    <row r="181" spans="2:8">
      <c r="B181" s="3"/>
      <c r="G181" t="str">
        <f t="shared" si="4"/>
        <v/>
      </c>
      <c r="H181" t="str">
        <f t="shared" si="5"/>
        <v/>
      </c>
    </row>
    <row r="182" spans="2:8">
      <c r="B182" s="3"/>
      <c r="G182" t="str">
        <f t="shared" si="4"/>
        <v/>
      </c>
      <c r="H182" t="str">
        <f t="shared" si="5"/>
        <v/>
      </c>
    </row>
    <row r="183" spans="2:8">
      <c r="B183" s="3"/>
      <c r="G183" t="str">
        <f t="shared" si="4"/>
        <v/>
      </c>
      <c r="H183" t="str">
        <f t="shared" si="5"/>
        <v/>
      </c>
    </row>
    <row r="184" spans="2:8">
      <c r="B184" s="3"/>
      <c r="G184" t="str">
        <f t="shared" si="4"/>
        <v/>
      </c>
      <c r="H184" t="str">
        <f t="shared" si="5"/>
        <v/>
      </c>
    </row>
    <row r="185" spans="2:8">
      <c r="B185" s="3"/>
      <c r="G185" t="str">
        <f t="shared" si="4"/>
        <v/>
      </c>
      <c r="H185" t="str">
        <f t="shared" si="5"/>
        <v/>
      </c>
    </row>
    <row r="186" spans="2:8">
      <c r="B186" s="3"/>
      <c r="G186" t="str">
        <f t="shared" si="4"/>
        <v/>
      </c>
      <c r="H186" t="str">
        <f t="shared" si="5"/>
        <v/>
      </c>
    </row>
    <row r="187" spans="2:8">
      <c r="B187" s="3"/>
      <c r="G187" t="str">
        <f t="shared" si="4"/>
        <v/>
      </c>
      <c r="H187" t="str">
        <f t="shared" si="5"/>
        <v/>
      </c>
    </row>
    <row r="188" spans="2:8">
      <c r="B188" s="3"/>
      <c r="G188" t="str">
        <f t="shared" si="4"/>
        <v/>
      </c>
      <c r="H188" t="str">
        <f t="shared" si="5"/>
        <v/>
      </c>
    </row>
    <row r="189" spans="2:8">
      <c r="B189" s="3"/>
      <c r="G189" t="str">
        <f t="shared" si="4"/>
        <v/>
      </c>
      <c r="H189" t="str">
        <f t="shared" si="5"/>
        <v/>
      </c>
    </row>
    <row r="190" spans="2:8">
      <c r="B190" s="3"/>
      <c r="G190" t="str">
        <f t="shared" si="4"/>
        <v/>
      </c>
      <c r="H190" t="str">
        <f t="shared" si="5"/>
        <v/>
      </c>
    </row>
    <row r="191" spans="2:8">
      <c r="B191" s="3"/>
      <c r="G191" t="str">
        <f t="shared" si="4"/>
        <v/>
      </c>
      <c r="H191" t="str">
        <f t="shared" si="5"/>
        <v/>
      </c>
    </row>
    <row r="192" spans="2:8">
      <c r="B192" s="3"/>
      <c r="G192" t="str">
        <f t="shared" si="4"/>
        <v/>
      </c>
      <c r="H192" t="str">
        <f t="shared" si="5"/>
        <v/>
      </c>
    </row>
    <row r="193" spans="2:8">
      <c r="B193" s="3"/>
      <c r="G193" t="str">
        <f t="shared" si="4"/>
        <v/>
      </c>
      <c r="H193" t="str">
        <f t="shared" si="5"/>
        <v/>
      </c>
    </row>
    <row r="194" spans="2:8">
      <c r="B194" s="3"/>
      <c r="G194" t="str">
        <f t="shared" si="4"/>
        <v/>
      </c>
      <c r="H194" t="str">
        <f t="shared" si="5"/>
        <v/>
      </c>
    </row>
    <row r="195" spans="2:8">
      <c r="B195" s="3"/>
      <c r="G195" t="str">
        <f t="shared" ref="G195:G258" si="6">IF(OR(E195="",F195=""),"",E195*F195)</f>
        <v/>
      </c>
      <c r="H195" t="str">
        <f t="shared" ref="H195:H258" si="7">IF(OR(C195="",D195=""),"",C195&amp;"|"&amp;D195)</f>
        <v/>
      </c>
    </row>
    <row r="196" spans="2:8">
      <c r="B196" s="3"/>
      <c r="G196" t="str">
        <f t="shared" si="6"/>
        <v/>
      </c>
      <c r="H196" t="str">
        <f t="shared" si="7"/>
        <v/>
      </c>
    </row>
    <row r="197" spans="2:8">
      <c r="B197" s="3"/>
      <c r="G197" t="str">
        <f t="shared" si="6"/>
        <v/>
      </c>
      <c r="H197" t="str">
        <f t="shared" si="7"/>
        <v/>
      </c>
    </row>
    <row r="198" spans="2:8">
      <c r="B198" s="3"/>
      <c r="G198" t="str">
        <f t="shared" si="6"/>
        <v/>
      </c>
      <c r="H198" t="str">
        <f t="shared" si="7"/>
        <v/>
      </c>
    </row>
    <row r="199" spans="2:8">
      <c r="B199" s="3"/>
      <c r="G199" t="str">
        <f t="shared" si="6"/>
        <v/>
      </c>
      <c r="H199" t="str">
        <f t="shared" si="7"/>
        <v/>
      </c>
    </row>
    <row r="200" spans="2:8">
      <c r="B200" s="3"/>
      <c r="G200" t="str">
        <f t="shared" si="6"/>
        <v/>
      </c>
      <c r="H200" t="str">
        <f t="shared" si="7"/>
        <v/>
      </c>
    </row>
    <row r="201" spans="2:8">
      <c r="B201" s="3"/>
      <c r="G201" t="str">
        <f t="shared" si="6"/>
        <v/>
      </c>
      <c r="H201" t="str">
        <f t="shared" si="7"/>
        <v/>
      </c>
    </row>
    <row r="202" spans="2:8">
      <c r="B202" s="3"/>
      <c r="G202" t="str">
        <f t="shared" si="6"/>
        <v/>
      </c>
      <c r="H202" t="str">
        <f t="shared" si="7"/>
        <v/>
      </c>
    </row>
    <row r="203" spans="2:8">
      <c r="B203" s="3"/>
      <c r="G203" t="str">
        <f t="shared" si="6"/>
        <v/>
      </c>
      <c r="H203" t="str">
        <f t="shared" si="7"/>
        <v/>
      </c>
    </row>
    <row r="204" spans="2:8">
      <c r="B204" s="3"/>
      <c r="G204" t="str">
        <f t="shared" si="6"/>
        <v/>
      </c>
      <c r="H204" t="str">
        <f t="shared" si="7"/>
        <v/>
      </c>
    </row>
    <row r="205" spans="2:8">
      <c r="B205" s="3"/>
      <c r="G205" t="str">
        <f t="shared" si="6"/>
        <v/>
      </c>
      <c r="H205" t="str">
        <f t="shared" si="7"/>
        <v/>
      </c>
    </row>
    <row r="206" spans="2:8">
      <c r="B206" s="3"/>
      <c r="G206" t="str">
        <f t="shared" si="6"/>
        <v/>
      </c>
      <c r="H206" t="str">
        <f t="shared" si="7"/>
        <v/>
      </c>
    </row>
    <row r="207" spans="2:8">
      <c r="B207" s="3"/>
      <c r="G207" t="str">
        <f t="shared" si="6"/>
        <v/>
      </c>
      <c r="H207" t="str">
        <f t="shared" si="7"/>
        <v/>
      </c>
    </row>
    <row r="208" spans="2:8">
      <c r="B208" s="3"/>
      <c r="G208" t="str">
        <f t="shared" si="6"/>
        <v/>
      </c>
      <c r="H208" t="str">
        <f t="shared" si="7"/>
        <v/>
      </c>
    </row>
    <row r="209" spans="2:8">
      <c r="B209" s="3"/>
      <c r="G209" t="str">
        <f t="shared" si="6"/>
        <v/>
      </c>
      <c r="H209" t="str">
        <f t="shared" si="7"/>
        <v/>
      </c>
    </row>
    <row r="210" spans="2:8">
      <c r="B210" s="3"/>
      <c r="G210" t="str">
        <f t="shared" si="6"/>
        <v/>
      </c>
      <c r="H210" t="str">
        <f t="shared" si="7"/>
        <v/>
      </c>
    </row>
    <row r="211" spans="2:8">
      <c r="B211" s="3"/>
      <c r="G211" t="str">
        <f t="shared" si="6"/>
        <v/>
      </c>
      <c r="H211" t="str">
        <f t="shared" si="7"/>
        <v/>
      </c>
    </row>
    <row r="212" spans="2:8">
      <c r="B212" s="3"/>
      <c r="G212" t="str">
        <f t="shared" si="6"/>
        <v/>
      </c>
      <c r="H212" t="str">
        <f t="shared" si="7"/>
        <v/>
      </c>
    </row>
    <row r="213" spans="2:8">
      <c r="B213" s="3"/>
      <c r="G213" t="str">
        <f t="shared" si="6"/>
        <v/>
      </c>
      <c r="H213" t="str">
        <f t="shared" si="7"/>
        <v/>
      </c>
    </row>
    <row r="214" spans="2:8">
      <c r="B214" s="3"/>
      <c r="G214" t="str">
        <f t="shared" si="6"/>
        <v/>
      </c>
      <c r="H214" t="str">
        <f t="shared" si="7"/>
        <v/>
      </c>
    </row>
    <row r="215" spans="2:8">
      <c r="B215" s="3"/>
      <c r="G215" t="str">
        <f t="shared" si="6"/>
        <v/>
      </c>
      <c r="H215" t="str">
        <f t="shared" si="7"/>
        <v/>
      </c>
    </row>
    <row r="216" spans="2:8">
      <c r="B216" s="3"/>
      <c r="G216" t="str">
        <f t="shared" si="6"/>
        <v/>
      </c>
      <c r="H216" t="str">
        <f t="shared" si="7"/>
        <v/>
      </c>
    </row>
    <row r="217" spans="2:8">
      <c r="B217" s="3"/>
      <c r="G217" t="str">
        <f t="shared" si="6"/>
        <v/>
      </c>
      <c r="H217" t="str">
        <f t="shared" si="7"/>
        <v/>
      </c>
    </row>
    <row r="218" spans="2:8">
      <c r="B218" s="3"/>
      <c r="G218" t="str">
        <f t="shared" si="6"/>
        <v/>
      </c>
      <c r="H218" t="str">
        <f t="shared" si="7"/>
        <v/>
      </c>
    </row>
    <row r="219" spans="2:8">
      <c r="B219" s="3"/>
      <c r="G219" t="str">
        <f t="shared" si="6"/>
        <v/>
      </c>
      <c r="H219" t="str">
        <f t="shared" si="7"/>
        <v/>
      </c>
    </row>
    <row r="220" spans="2:8">
      <c r="B220" s="3"/>
      <c r="G220" t="str">
        <f t="shared" si="6"/>
        <v/>
      </c>
      <c r="H220" t="str">
        <f t="shared" si="7"/>
        <v/>
      </c>
    </row>
    <row r="221" spans="2:8">
      <c r="B221" s="3"/>
      <c r="G221" t="str">
        <f t="shared" si="6"/>
        <v/>
      </c>
      <c r="H221" t="str">
        <f t="shared" si="7"/>
        <v/>
      </c>
    </row>
    <row r="222" spans="2:8">
      <c r="B222" s="3"/>
      <c r="G222" t="str">
        <f t="shared" si="6"/>
        <v/>
      </c>
      <c r="H222" t="str">
        <f t="shared" si="7"/>
        <v/>
      </c>
    </row>
    <row r="223" spans="2:8">
      <c r="B223" s="3"/>
      <c r="G223" t="str">
        <f t="shared" si="6"/>
        <v/>
      </c>
      <c r="H223" t="str">
        <f t="shared" si="7"/>
        <v/>
      </c>
    </row>
    <row r="224" spans="2:8">
      <c r="B224" s="3"/>
      <c r="G224" t="str">
        <f t="shared" si="6"/>
        <v/>
      </c>
      <c r="H224" t="str">
        <f t="shared" si="7"/>
        <v/>
      </c>
    </row>
    <row r="225" spans="2:8">
      <c r="B225" s="3"/>
      <c r="G225" t="str">
        <f t="shared" si="6"/>
        <v/>
      </c>
      <c r="H225" t="str">
        <f t="shared" si="7"/>
        <v/>
      </c>
    </row>
    <row r="226" spans="2:8">
      <c r="B226" s="3"/>
      <c r="G226" t="str">
        <f t="shared" si="6"/>
        <v/>
      </c>
      <c r="H226" t="str">
        <f t="shared" si="7"/>
        <v/>
      </c>
    </row>
    <row r="227" spans="2:8">
      <c r="B227" s="3"/>
      <c r="G227" t="str">
        <f t="shared" si="6"/>
        <v/>
      </c>
      <c r="H227" t="str">
        <f t="shared" si="7"/>
        <v/>
      </c>
    </row>
    <row r="228" spans="2:8">
      <c r="B228" s="3"/>
      <c r="G228" t="str">
        <f t="shared" si="6"/>
        <v/>
      </c>
      <c r="H228" t="str">
        <f t="shared" si="7"/>
        <v/>
      </c>
    </row>
    <row r="229" spans="2:8">
      <c r="B229" s="3"/>
      <c r="G229" t="str">
        <f t="shared" si="6"/>
        <v/>
      </c>
      <c r="H229" t="str">
        <f t="shared" si="7"/>
        <v/>
      </c>
    </row>
    <row r="230" spans="2:8">
      <c r="B230" s="3"/>
      <c r="G230" t="str">
        <f t="shared" si="6"/>
        <v/>
      </c>
      <c r="H230" t="str">
        <f t="shared" si="7"/>
        <v/>
      </c>
    </row>
    <row r="231" spans="2:8">
      <c r="B231" s="3"/>
      <c r="G231" t="str">
        <f t="shared" si="6"/>
        <v/>
      </c>
      <c r="H231" t="str">
        <f t="shared" si="7"/>
        <v/>
      </c>
    </row>
    <row r="232" spans="2:8">
      <c r="B232" s="3"/>
      <c r="G232" t="str">
        <f t="shared" si="6"/>
        <v/>
      </c>
      <c r="H232" t="str">
        <f t="shared" si="7"/>
        <v/>
      </c>
    </row>
    <row r="233" spans="2:8">
      <c r="B233" s="3"/>
      <c r="G233" t="str">
        <f t="shared" si="6"/>
        <v/>
      </c>
      <c r="H233" t="str">
        <f t="shared" si="7"/>
        <v/>
      </c>
    </row>
    <row r="234" spans="2:8">
      <c r="B234" s="3"/>
      <c r="G234" t="str">
        <f t="shared" si="6"/>
        <v/>
      </c>
      <c r="H234" t="str">
        <f t="shared" si="7"/>
        <v/>
      </c>
    </row>
    <row r="235" spans="2:8">
      <c r="B235" s="3"/>
      <c r="G235" t="str">
        <f t="shared" si="6"/>
        <v/>
      </c>
      <c r="H235" t="str">
        <f t="shared" si="7"/>
        <v/>
      </c>
    </row>
    <row r="236" spans="2:8">
      <c r="B236" s="3"/>
      <c r="G236" t="str">
        <f t="shared" si="6"/>
        <v/>
      </c>
      <c r="H236" t="str">
        <f t="shared" si="7"/>
        <v/>
      </c>
    </row>
    <row r="237" spans="2:8">
      <c r="B237" s="3"/>
      <c r="G237" t="str">
        <f t="shared" si="6"/>
        <v/>
      </c>
      <c r="H237" t="str">
        <f t="shared" si="7"/>
        <v/>
      </c>
    </row>
    <row r="238" spans="2:8">
      <c r="B238" s="3"/>
      <c r="G238" t="str">
        <f t="shared" si="6"/>
        <v/>
      </c>
      <c r="H238" t="str">
        <f t="shared" si="7"/>
        <v/>
      </c>
    </row>
    <row r="239" spans="2:8">
      <c r="B239" s="3"/>
      <c r="G239" t="str">
        <f t="shared" si="6"/>
        <v/>
      </c>
      <c r="H239" t="str">
        <f t="shared" si="7"/>
        <v/>
      </c>
    </row>
    <row r="240" spans="2:8">
      <c r="B240" s="3"/>
      <c r="G240" t="str">
        <f t="shared" si="6"/>
        <v/>
      </c>
      <c r="H240" t="str">
        <f t="shared" si="7"/>
        <v/>
      </c>
    </row>
    <row r="241" spans="2:8">
      <c r="B241" s="3"/>
      <c r="G241" t="str">
        <f t="shared" si="6"/>
        <v/>
      </c>
      <c r="H241" t="str">
        <f t="shared" si="7"/>
        <v/>
      </c>
    </row>
    <row r="242" spans="2:8">
      <c r="B242" s="3"/>
      <c r="G242" t="str">
        <f t="shared" si="6"/>
        <v/>
      </c>
      <c r="H242" t="str">
        <f t="shared" si="7"/>
        <v/>
      </c>
    </row>
    <row r="243" spans="2:8">
      <c r="B243" s="3"/>
      <c r="G243" t="str">
        <f t="shared" si="6"/>
        <v/>
      </c>
      <c r="H243" t="str">
        <f t="shared" si="7"/>
        <v/>
      </c>
    </row>
    <row r="244" spans="2:8">
      <c r="B244" s="3"/>
      <c r="G244" t="str">
        <f t="shared" si="6"/>
        <v/>
      </c>
      <c r="H244" t="str">
        <f t="shared" si="7"/>
        <v/>
      </c>
    </row>
    <row r="245" spans="2:8">
      <c r="B245" s="3"/>
      <c r="G245" t="str">
        <f t="shared" si="6"/>
        <v/>
      </c>
      <c r="H245" t="str">
        <f t="shared" si="7"/>
        <v/>
      </c>
    </row>
    <row r="246" spans="2:8">
      <c r="B246" s="3"/>
      <c r="G246" t="str">
        <f t="shared" si="6"/>
        <v/>
      </c>
      <c r="H246" t="str">
        <f t="shared" si="7"/>
        <v/>
      </c>
    </row>
    <row r="247" spans="2:8">
      <c r="B247" s="3"/>
      <c r="G247" t="str">
        <f t="shared" si="6"/>
        <v/>
      </c>
      <c r="H247" t="str">
        <f t="shared" si="7"/>
        <v/>
      </c>
    </row>
    <row r="248" spans="2:8">
      <c r="B248" s="3"/>
      <c r="G248" t="str">
        <f t="shared" si="6"/>
        <v/>
      </c>
      <c r="H248" t="str">
        <f t="shared" si="7"/>
        <v/>
      </c>
    </row>
    <row r="249" spans="2:8">
      <c r="B249" s="3"/>
      <c r="G249" t="str">
        <f t="shared" si="6"/>
        <v/>
      </c>
      <c r="H249" t="str">
        <f t="shared" si="7"/>
        <v/>
      </c>
    </row>
    <row r="250" spans="2:8">
      <c r="B250" s="3"/>
      <c r="G250" t="str">
        <f t="shared" si="6"/>
        <v/>
      </c>
      <c r="H250" t="str">
        <f t="shared" si="7"/>
        <v/>
      </c>
    </row>
    <row r="251" spans="2:8">
      <c r="B251" s="3"/>
      <c r="G251" t="str">
        <f t="shared" si="6"/>
        <v/>
      </c>
      <c r="H251" t="str">
        <f t="shared" si="7"/>
        <v/>
      </c>
    </row>
    <row r="252" spans="2:8">
      <c r="B252" s="3"/>
      <c r="G252" t="str">
        <f t="shared" si="6"/>
        <v/>
      </c>
      <c r="H252" t="str">
        <f t="shared" si="7"/>
        <v/>
      </c>
    </row>
    <row r="253" spans="2:8">
      <c r="B253" s="3"/>
      <c r="G253" t="str">
        <f t="shared" si="6"/>
        <v/>
      </c>
      <c r="H253" t="str">
        <f t="shared" si="7"/>
        <v/>
      </c>
    </row>
    <row r="254" spans="2:8">
      <c r="B254" s="3"/>
      <c r="G254" t="str">
        <f t="shared" si="6"/>
        <v/>
      </c>
      <c r="H254" t="str">
        <f t="shared" si="7"/>
        <v/>
      </c>
    </row>
    <row r="255" spans="2:8">
      <c r="B255" s="3"/>
      <c r="G255" t="str">
        <f t="shared" si="6"/>
        <v/>
      </c>
      <c r="H255" t="str">
        <f t="shared" si="7"/>
        <v/>
      </c>
    </row>
    <row r="256" spans="2:8">
      <c r="B256" s="3"/>
      <c r="G256" t="str">
        <f t="shared" si="6"/>
        <v/>
      </c>
      <c r="H256" t="str">
        <f t="shared" si="7"/>
        <v/>
      </c>
    </row>
    <row r="257" spans="2:8">
      <c r="B257" s="3"/>
      <c r="G257" t="str">
        <f t="shared" si="6"/>
        <v/>
      </c>
      <c r="H257" t="str">
        <f t="shared" si="7"/>
        <v/>
      </c>
    </row>
    <row r="258" spans="2:8">
      <c r="B258" s="3"/>
      <c r="G258" t="str">
        <f t="shared" si="6"/>
        <v/>
      </c>
      <c r="H258" t="str">
        <f t="shared" si="7"/>
        <v/>
      </c>
    </row>
    <row r="259" spans="2:8">
      <c r="B259" s="3"/>
      <c r="G259" t="str">
        <f t="shared" ref="G259:G322" si="8">IF(OR(E259="",F259=""),"",E259*F259)</f>
        <v/>
      </c>
      <c r="H259" t="str">
        <f t="shared" ref="H259:H322" si="9">IF(OR(C259="",D259=""),"",C259&amp;"|"&amp;D259)</f>
        <v/>
      </c>
    </row>
    <row r="260" spans="2:8">
      <c r="B260" s="3"/>
      <c r="G260" t="str">
        <f t="shared" si="8"/>
        <v/>
      </c>
      <c r="H260" t="str">
        <f t="shared" si="9"/>
        <v/>
      </c>
    </row>
    <row r="261" spans="2:8">
      <c r="B261" s="3"/>
      <c r="G261" t="str">
        <f t="shared" si="8"/>
        <v/>
      </c>
      <c r="H261" t="str">
        <f t="shared" si="9"/>
        <v/>
      </c>
    </row>
    <row r="262" spans="2:8">
      <c r="B262" s="3"/>
      <c r="G262" t="str">
        <f t="shared" si="8"/>
        <v/>
      </c>
      <c r="H262" t="str">
        <f t="shared" si="9"/>
        <v/>
      </c>
    </row>
    <row r="263" spans="2:8">
      <c r="B263" s="3"/>
      <c r="G263" t="str">
        <f t="shared" si="8"/>
        <v/>
      </c>
      <c r="H263" t="str">
        <f t="shared" si="9"/>
        <v/>
      </c>
    </row>
    <row r="264" spans="2:8">
      <c r="B264" s="3"/>
      <c r="G264" t="str">
        <f t="shared" si="8"/>
        <v/>
      </c>
      <c r="H264" t="str">
        <f t="shared" si="9"/>
        <v/>
      </c>
    </row>
    <row r="265" spans="2:8">
      <c r="B265" s="3"/>
      <c r="G265" t="str">
        <f t="shared" si="8"/>
        <v/>
      </c>
      <c r="H265" t="str">
        <f t="shared" si="9"/>
        <v/>
      </c>
    </row>
    <row r="266" spans="2:8">
      <c r="B266" s="3"/>
      <c r="G266" t="str">
        <f t="shared" si="8"/>
        <v/>
      </c>
      <c r="H266" t="str">
        <f t="shared" si="9"/>
        <v/>
      </c>
    </row>
    <row r="267" spans="2:8">
      <c r="B267" s="3"/>
      <c r="G267" t="str">
        <f t="shared" si="8"/>
        <v/>
      </c>
      <c r="H267" t="str">
        <f t="shared" si="9"/>
        <v/>
      </c>
    </row>
    <row r="268" spans="2:8">
      <c r="B268" s="3"/>
      <c r="G268" t="str">
        <f t="shared" si="8"/>
        <v/>
      </c>
      <c r="H268" t="str">
        <f t="shared" si="9"/>
        <v/>
      </c>
    </row>
    <row r="269" spans="2:8">
      <c r="B269" s="3"/>
      <c r="G269" t="str">
        <f t="shared" si="8"/>
        <v/>
      </c>
      <c r="H269" t="str">
        <f t="shared" si="9"/>
        <v/>
      </c>
    </row>
    <row r="270" spans="2:8">
      <c r="B270" s="3"/>
      <c r="G270" t="str">
        <f t="shared" si="8"/>
        <v/>
      </c>
      <c r="H270" t="str">
        <f t="shared" si="9"/>
        <v/>
      </c>
    </row>
    <row r="271" spans="2:8">
      <c r="B271" s="3"/>
      <c r="G271" t="str">
        <f t="shared" si="8"/>
        <v/>
      </c>
      <c r="H271" t="str">
        <f t="shared" si="9"/>
        <v/>
      </c>
    </row>
    <row r="272" spans="2:8">
      <c r="B272" s="3"/>
      <c r="G272" t="str">
        <f t="shared" si="8"/>
        <v/>
      </c>
      <c r="H272" t="str">
        <f t="shared" si="9"/>
        <v/>
      </c>
    </row>
    <row r="273" spans="2:8">
      <c r="B273" s="3"/>
      <c r="G273" t="str">
        <f t="shared" si="8"/>
        <v/>
      </c>
      <c r="H273" t="str">
        <f t="shared" si="9"/>
        <v/>
      </c>
    </row>
    <row r="274" spans="2:8">
      <c r="B274" s="3"/>
      <c r="G274" t="str">
        <f t="shared" si="8"/>
        <v/>
      </c>
      <c r="H274" t="str">
        <f t="shared" si="9"/>
        <v/>
      </c>
    </row>
    <row r="275" spans="2:8">
      <c r="B275" s="3"/>
      <c r="G275" t="str">
        <f t="shared" si="8"/>
        <v/>
      </c>
      <c r="H275" t="str">
        <f t="shared" si="9"/>
        <v/>
      </c>
    </row>
    <row r="276" spans="2:8">
      <c r="B276" s="3"/>
      <c r="G276" t="str">
        <f t="shared" si="8"/>
        <v/>
      </c>
      <c r="H276" t="str">
        <f t="shared" si="9"/>
        <v/>
      </c>
    </row>
    <row r="277" spans="2:8">
      <c r="B277" s="3"/>
      <c r="G277" t="str">
        <f t="shared" si="8"/>
        <v/>
      </c>
      <c r="H277" t="str">
        <f t="shared" si="9"/>
        <v/>
      </c>
    </row>
    <row r="278" spans="2:8">
      <c r="B278" s="3"/>
      <c r="G278" t="str">
        <f t="shared" si="8"/>
        <v/>
      </c>
      <c r="H278" t="str">
        <f t="shared" si="9"/>
        <v/>
      </c>
    </row>
    <row r="279" spans="2:8">
      <c r="B279" s="3"/>
      <c r="G279" t="str">
        <f t="shared" si="8"/>
        <v/>
      </c>
      <c r="H279" t="str">
        <f t="shared" si="9"/>
        <v/>
      </c>
    </row>
    <row r="280" spans="2:8">
      <c r="B280" s="3"/>
      <c r="G280" t="str">
        <f t="shared" si="8"/>
        <v/>
      </c>
      <c r="H280" t="str">
        <f t="shared" si="9"/>
        <v/>
      </c>
    </row>
    <row r="281" spans="2:8">
      <c r="B281" s="3"/>
      <c r="G281" t="str">
        <f t="shared" si="8"/>
        <v/>
      </c>
      <c r="H281" t="str">
        <f t="shared" si="9"/>
        <v/>
      </c>
    </row>
    <row r="282" spans="2:8">
      <c r="B282" s="3"/>
      <c r="G282" t="str">
        <f t="shared" si="8"/>
        <v/>
      </c>
      <c r="H282" t="str">
        <f t="shared" si="9"/>
        <v/>
      </c>
    </row>
    <row r="283" spans="2:8">
      <c r="B283" s="3"/>
      <c r="G283" t="str">
        <f t="shared" si="8"/>
        <v/>
      </c>
      <c r="H283" t="str">
        <f t="shared" si="9"/>
        <v/>
      </c>
    </row>
    <row r="284" spans="2:8">
      <c r="B284" s="3"/>
      <c r="G284" t="str">
        <f t="shared" si="8"/>
        <v/>
      </c>
      <c r="H284" t="str">
        <f t="shared" si="9"/>
        <v/>
      </c>
    </row>
    <row r="285" spans="2:8">
      <c r="B285" s="3"/>
      <c r="G285" t="str">
        <f t="shared" si="8"/>
        <v/>
      </c>
      <c r="H285" t="str">
        <f t="shared" si="9"/>
        <v/>
      </c>
    </row>
    <row r="286" spans="2:8">
      <c r="B286" s="3"/>
      <c r="G286" t="str">
        <f t="shared" si="8"/>
        <v/>
      </c>
      <c r="H286" t="str">
        <f t="shared" si="9"/>
        <v/>
      </c>
    </row>
    <row r="287" spans="2:8">
      <c r="B287" s="3"/>
      <c r="G287" t="str">
        <f t="shared" si="8"/>
        <v/>
      </c>
      <c r="H287" t="str">
        <f t="shared" si="9"/>
        <v/>
      </c>
    </row>
    <row r="288" spans="2:8">
      <c r="B288" s="3"/>
      <c r="G288" t="str">
        <f t="shared" si="8"/>
        <v/>
      </c>
      <c r="H288" t="str">
        <f t="shared" si="9"/>
        <v/>
      </c>
    </row>
    <row r="289" spans="2:8">
      <c r="B289" s="3"/>
      <c r="G289" t="str">
        <f t="shared" si="8"/>
        <v/>
      </c>
      <c r="H289" t="str">
        <f t="shared" si="9"/>
        <v/>
      </c>
    </row>
    <row r="290" spans="2:8">
      <c r="B290" s="3"/>
      <c r="G290" t="str">
        <f t="shared" si="8"/>
        <v/>
      </c>
      <c r="H290" t="str">
        <f t="shared" si="9"/>
        <v/>
      </c>
    </row>
    <row r="291" spans="2:8">
      <c r="B291" s="3"/>
      <c r="G291" t="str">
        <f t="shared" si="8"/>
        <v/>
      </c>
      <c r="H291" t="str">
        <f t="shared" si="9"/>
        <v/>
      </c>
    </row>
    <row r="292" spans="2:8">
      <c r="B292" s="3"/>
      <c r="G292" t="str">
        <f t="shared" si="8"/>
        <v/>
      </c>
      <c r="H292" t="str">
        <f t="shared" si="9"/>
        <v/>
      </c>
    </row>
    <row r="293" spans="2:8">
      <c r="B293" s="3"/>
      <c r="G293" t="str">
        <f t="shared" si="8"/>
        <v/>
      </c>
      <c r="H293" t="str">
        <f t="shared" si="9"/>
        <v/>
      </c>
    </row>
    <row r="294" spans="2:8">
      <c r="B294" s="3"/>
      <c r="G294" t="str">
        <f t="shared" si="8"/>
        <v/>
      </c>
      <c r="H294" t="str">
        <f t="shared" si="9"/>
        <v/>
      </c>
    </row>
    <row r="295" spans="2:8">
      <c r="B295" s="3"/>
      <c r="G295" t="str">
        <f t="shared" si="8"/>
        <v/>
      </c>
      <c r="H295" t="str">
        <f t="shared" si="9"/>
        <v/>
      </c>
    </row>
    <row r="296" spans="2:8">
      <c r="B296" s="3"/>
      <c r="G296" t="str">
        <f t="shared" si="8"/>
        <v/>
      </c>
      <c r="H296" t="str">
        <f t="shared" si="9"/>
        <v/>
      </c>
    </row>
    <row r="297" spans="2:8">
      <c r="B297" s="3"/>
      <c r="G297" t="str">
        <f t="shared" si="8"/>
        <v/>
      </c>
      <c r="H297" t="str">
        <f t="shared" si="9"/>
        <v/>
      </c>
    </row>
    <row r="298" spans="2:8">
      <c r="B298" s="3"/>
      <c r="G298" t="str">
        <f t="shared" si="8"/>
        <v/>
      </c>
      <c r="H298" t="str">
        <f t="shared" si="9"/>
        <v/>
      </c>
    </row>
    <row r="299" spans="2:8">
      <c r="B299" s="3"/>
      <c r="G299" t="str">
        <f t="shared" si="8"/>
        <v/>
      </c>
      <c r="H299" t="str">
        <f t="shared" si="9"/>
        <v/>
      </c>
    </row>
    <row r="300" spans="2:8">
      <c r="B300" s="3"/>
      <c r="G300" t="str">
        <f t="shared" si="8"/>
        <v/>
      </c>
      <c r="H300" t="str">
        <f t="shared" si="9"/>
        <v/>
      </c>
    </row>
    <row r="301" spans="2:8">
      <c r="B301" s="3"/>
      <c r="G301" t="str">
        <f t="shared" si="8"/>
        <v/>
      </c>
      <c r="H301" t="str">
        <f t="shared" si="9"/>
        <v/>
      </c>
    </row>
    <row r="302" spans="2:8">
      <c r="B302" s="3"/>
      <c r="G302" t="str">
        <f t="shared" si="8"/>
        <v/>
      </c>
      <c r="H302" t="str">
        <f t="shared" si="9"/>
        <v/>
      </c>
    </row>
    <row r="303" spans="2:8">
      <c r="B303" s="3"/>
      <c r="G303" t="str">
        <f t="shared" si="8"/>
        <v/>
      </c>
      <c r="H303" t="str">
        <f t="shared" si="9"/>
        <v/>
      </c>
    </row>
    <row r="304" spans="2:8">
      <c r="B304" s="3"/>
      <c r="G304" t="str">
        <f t="shared" si="8"/>
        <v/>
      </c>
      <c r="H304" t="str">
        <f t="shared" si="9"/>
        <v/>
      </c>
    </row>
    <row r="305" spans="2:8">
      <c r="B305" s="3"/>
      <c r="G305" t="str">
        <f t="shared" si="8"/>
        <v/>
      </c>
      <c r="H305" t="str">
        <f t="shared" si="9"/>
        <v/>
      </c>
    </row>
    <row r="306" spans="2:8">
      <c r="B306" s="3"/>
      <c r="G306" t="str">
        <f t="shared" si="8"/>
        <v/>
      </c>
      <c r="H306" t="str">
        <f t="shared" si="9"/>
        <v/>
      </c>
    </row>
    <row r="307" spans="2:8">
      <c r="B307" s="3"/>
      <c r="G307" t="str">
        <f t="shared" si="8"/>
        <v/>
      </c>
      <c r="H307" t="str">
        <f t="shared" si="9"/>
        <v/>
      </c>
    </row>
    <row r="308" spans="2:8">
      <c r="B308" s="3"/>
      <c r="G308" t="str">
        <f t="shared" si="8"/>
        <v/>
      </c>
      <c r="H308" t="str">
        <f t="shared" si="9"/>
        <v/>
      </c>
    </row>
    <row r="309" spans="2:8">
      <c r="B309" s="3"/>
      <c r="G309" t="str">
        <f t="shared" si="8"/>
        <v/>
      </c>
      <c r="H309" t="str">
        <f t="shared" si="9"/>
        <v/>
      </c>
    </row>
    <row r="310" spans="2:8">
      <c r="B310" s="3"/>
      <c r="G310" t="str">
        <f t="shared" si="8"/>
        <v/>
      </c>
      <c r="H310" t="str">
        <f t="shared" si="9"/>
        <v/>
      </c>
    </row>
    <row r="311" spans="2:8">
      <c r="B311" s="3"/>
      <c r="G311" t="str">
        <f t="shared" si="8"/>
        <v/>
      </c>
      <c r="H311" t="str">
        <f t="shared" si="9"/>
        <v/>
      </c>
    </row>
    <row r="312" spans="2:8">
      <c r="B312" s="3"/>
      <c r="G312" t="str">
        <f t="shared" si="8"/>
        <v/>
      </c>
      <c r="H312" t="str">
        <f t="shared" si="9"/>
        <v/>
      </c>
    </row>
    <row r="313" spans="2:8">
      <c r="B313" s="3"/>
      <c r="G313" t="str">
        <f t="shared" si="8"/>
        <v/>
      </c>
      <c r="H313" t="str">
        <f t="shared" si="9"/>
        <v/>
      </c>
    </row>
    <row r="314" spans="2:8">
      <c r="B314" s="3"/>
      <c r="G314" t="str">
        <f t="shared" si="8"/>
        <v/>
      </c>
      <c r="H314" t="str">
        <f t="shared" si="9"/>
        <v/>
      </c>
    </row>
    <row r="315" spans="2:8">
      <c r="B315" s="3"/>
      <c r="G315" t="str">
        <f t="shared" si="8"/>
        <v/>
      </c>
      <c r="H315" t="str">
        <f t="shared" si="9"/>
        <v/>
      </c>
    </row>
    <row r="316" spans="2:8">
      <c r="B316" s="3"/>
      <c r="G316" t="str">
        <f t="shared" si="8"/>
        <v/>
      </c>
      <c r="H316" t="str">
        <f t="shared" si="9"/>
        <v/>
      </c>
    </row>
    <row r="317" spans="2:8">
      <c r="B317" s="3"/>
      <c r="G317" t="str">
        <f t="shared" si="8"/>
        <v/>
      </c>
      <c r="H317" t="str">
        <f t="shared" si="9"/>
        <v/>
      </c>
    </row>
    <row r="318" spans="2:8">
      <c r="B318" s="3"/>
      <c r="G318" t="str">
        <f t="shared" si="8"/>
        <v/>
      </c>
      <c r="H318" t="str">
        <f t="shared" si="9"/>
        <v/>
      </c>
    </row>
    <row r="319" spans="2:8">
      <c r="B319" s="3"/>
      <c r="G319" t="str">
        <f t="shared" si="8"/>
        <v/>
      </c>
      <c r="H319" t="str">
        <f t="shared" si="9"/>
        <v/>
      </c>
    </row>
    <row r="320" spans="2:8">
      <c r="B320" s="3"/>
      <c r="G320" t="str">
        <f t="shared" si="8"/>
        <v/>
      </c>
      <c r="H320" t="str">
        <f t="shared" si="9"/>
        <v/>
      </c>
    </row>
    <row r="321" spans="2:8">
      <c r="B321" s="3"/>
      <c r="G321" t="str">
        <f t="shared" si="8"/>
        <v/>
      </c>
      <c r="H321" t="str">
        <f t="shared" si="9"/>
        <v/>
      </c>
    </row>
    <row r="322" spans="2:8">
      <c r="B322" s="3"/>
      <c r="G322" t="str">
        <f t="shared" si="8"/>
        <v/>
      </c>
      <c r="H322" t="str">
        <f t="shared" si="9"/>
        <v/>
      </c>
    </row>
    <row r="323" spans="2:8">
      <c r="B323" s="3"/>
      <c r="G323" t="str">
        <f t="shared" ref="G323:G386" si="10">IF(OR(E323="",F323=""),"",E323*F323)</f>
        <v/>
      </c>
      <c r="H323" t="str">
        <f t="shared" ref="H323:H386" si="11">IF(OR(C323="",D323=""),"",C323&amp;"|"&amp;D323)</f>
        <v/>
      </c>
    </row>
    <row r="324" spans="2:8">
      <c r="B324" s="3"/>
      <c r="G324" t="str">
        <f t="shared" si="10"/>
        <v/>
      </c>
      <c r="H324" t="str">
        <f t="shared" si="11"/>
        <v/>
      </c>
    </row>
    <row r="325" spans="2:8">
      <c r="B325" s="3"/>
      <c r="G325" t="str">
        <f t="shared" si="10"/>
        <v/>
      </c>
      <c r="H325" t="str">
        <f t="shared" si="11"/>
        <v/>
      </c>
    </row>
    <row r="326" spans="2:8">
      <c r="B326" s="3"/>
      <c r="G326" t="str">
        <f t="shared" si="10"/>
        <v/>
      </c>
      <c r="H326" t="str">
        <f t="shared" si="11"/>
        <v/>
      </c>
    </row>
    <row r="327" spans="2:8">
      <c r="B327" s="3"/>
      <c r="G327" t="str">
        <f t="shared" si="10"/>
        <v/>
      </c>
      <c r="H327" t="str">
        <f t="shared" si="11"/>
        <v/>
      </c>
    </row>
    <row r="328" spans="2:8">
      <c r="B328" s="3"/>
      <c r="G328" t="str">
        <f t="shared" si="10"/>
        <v/>
      </c>
      <c r="H328" t="str">
        <f t="shared" si="11"/>
        <v/>
      </c>
    </row>
    <row r="329" spans="2:8">
      <c r="B329" s="3"/>
      <c r="G329" t="str">
        <f t="shared" si="10"/>
        <v/>
      </c>
      <c r="H329" t="str">
        <f t="shared" si="11"/>
        <v/>
      </c>
    </row>
    <row r="330" spans="2:8">
      <c r="B330" s="3"/>
      <c r="G330" t="str">
        <f t="shared" si="10"/>
        <v/>
      </c>
      <c r="H330" t="str">
        <f t="shared" si="11"/>
        <v/>
      </c>
    </row>
    <row r="331" spans="2:8">
      <c r="B331" s="3"/>
      <c r="G331" t="str">
        <f t="shared" si="10"/>
        <v/>
      </c>
      <c r="H331" t="str">
        <f t="shared" si="11"/>
        <v/>
      </c>
    </row>
    <row r="332" spans="2:8">
      <c r="B332" s="3"/>
      <c r="G332" t="str">
        <f t="shared" si="10"/>
        <v/>
      </c>
      <c r="H332" t="str">
        <f t="shared" si="11"/>
        <v/>
      </c>
    </row>
    <row r="333" spans="2:8">
      <c r="B333" s="3"/>
      <c r="G333" t="str">
        <f t="shared" si="10"/>
        <v/>
      </c>
      <c r="H333" t="str">
        <f t="shared" si="11"/>
        <v/>
      </c>
    </row>
    <row r="334" spans="2:8">
      <c r="B334" s="3"/>
      <c r="G334" t="str">
        <f t="shared" si="10"/>
        <v/>
      </c>
      <c r="H334" t="str">
        <f t="shared" si="11"/>
        <v/>
      </c>
    </row>
    <row r="335" spans="2:8">
      <c r="B335" s="3"/>
      <c r="G335" t="str">
        <f t="shared" si="10"/>
        <v/>
      </c>
      <c r="H335" t="str">
        <f t="shared" si="11"/>
        <v/>
      </c>
    </row>
    <row r="336" spans="2:8">
      <c r="B336" s="3"/>
      <c r="G336" t="str">
        <f t="shared" si="10"/>
        <v/>
      </c>
      <c r="H336" t="str">
        <f t="shared" si="11"/>
        <v/>
      </c>
    </row>
    <row r="337" spans="2:8">
      <c r="B337" s="3"/>
      <c r="G337" t="str">
        <f t="shared" si="10"/>
        <v/>
      </c>
      <c r="H337" t="str">
        <f t="shared" si="11"/>
        <v/>
      </c>
    </row>
    <row r="338" spans="2:8">
      <c r="B338" s="3"/>
      <c r="G338" t="str">
        <f t="shared" si="10"/>
        <v/>
      </c>
      <c r="H338" t="str">
        <f t="shared" si="11"/>
        <v/>
      </c>
    </row>
    <row r="339" spans="2:8">
      <c r="B339" s="3"/>
      <c r="G339" t="str">
        <f t="shared" si="10"/>
        <v/>
      </c>
      <c r="H339" t="str">
        <f t="shared" si="11"/>
        <v/>
      </c>
    </row>
    <row r="340" spans="2:8">
      <c r="B340" s="3"/>
      <c r="G340" t="str">
        <f t="shared" si="10"/>
        <v/>
      </c>
      <c r="H340" t="str">
        <f t="shared" si="11"/>
        <v/>
      </c>
    </row>
    <row r="341" spans="2:8">
      <c r="B341" s="3"/>
      <c r="G341" t="str">
        <f t="shared" si="10"/>
        <v/>
      </c>
      <c r="H341" t="str">
        <f t="shared" si="11"/>
        <v/>
      </c>
    </row>
    <row r="342" spans="2:8">
      <c r="B342" s="3"/>
      <c r="G342" t="str">
        <f t="shared" si="10"/>
        <v/>
      </c>
      <c r="H342" t="str">
        <f t="shared" si="11"/>
        <v/>
      </c>
    </row>
    <row r="343" spans="2:8">
      <c r="B343" s="3"/>
      <c r="G343" t="str">
        <f t="shared" si="10"/>
        <v/>
      </c>
      <c r="H343" t="str">
        <f t="shared" si="11"/>
        <v/>
      </c>
    </row>
    <row r="344" spans="2:8">
      <c r="B344" s="3"/>
      <c r="G344" t="str">
        <f t="shared" si="10"/>
        <v/>
      </c>
      <c r="H344" t="str">
        <f t="shared" si="11"/>
        <v/>
      </c>
    </row>
    <row r="345" spans="2:8">
      <c r="B345" s="3"/>
      <c r="G345" t="str">
        <f t="shared" si="10"/>
        <v/>
      </c>
      <c r="H345" t="str">
        <f t="shared" si="11"/>
        <v/>
      </c>
    </row>
    <row r="346" spans="2:8">
      <c r="B346" s="3"/>
      <c r="G346" t="str">
        <f t="shared" si="10"/>
        <v/>
      </c>
      <c r="H346" t="str">
        <f t="shared" si="11"/>
        <v/>
      </c>
    </row>
    <row r="347" spans="2:8">
      <c r="B347" s="3"/>
      <c r="G347" t="str">
        <f t="shared" si="10"/>
        <v/>
      </c>
      <c r="H347" t="str">
        <f t="shared" si="11"/>
        <v/>
      </c>
    </row>
    <row r="348" spans="2:8">
      <c r="B348" s="3"/>
      <c r="G348" t="str">
        <f t="shared" si="10"/>
        <v/>
      </c>
      <c r="H348" t="str">
        <f t="shared" si="11"/>
        <v/>
      </c>
    </row>
    <row r="349" spans="2:8">
      <c r="B349" s="3"/>
      <c r="G349" t="str">
        <f t="shared" si="10"/>
        <v/>
      </c>
      <c r="H349" t="str">
        <f t="shared" si="11"/>
        <v/>
      </c>
    </row>
    <row r="350" spans="2:8">
      <c r="B350" s="3"/>
      <c r="G350" t="str">
        <f t="shared" si="10"/>
        <v/>
      </c>
      <c r="H350" t="str">
        <f t="shared" si="11"/>
        <v/>
      </c>
    </row>
    <row r="351" spans="2:8">
      <c r="B351" s="3"/>
      <c r="G351" t="str">
        <f t="shared" si="10"/>
        <v/>
      </c>
      <c r="H351" t="str">
        <f t="shared" si="11"/>
        <v/>
      </c>
    </row>
    <row r="352" spans="2:8">
      <c r="B352" s="3"/>
      <c r="G352" t="str">
        <f t="shared" si="10"/>
        <v/>
      </c>
      <c r="H352" t="str">
        <f t="shared" si="11"/>
        <v/>
      </c>
    </row>
    <row r="353" spans="2:8">
      <c r="B353" s="3"/>
      <c r="G353" t="str">
        <f t="shared" si="10"/>
        <v/>
      </c>
      <c r="H353" t="str">
        <f t="shared" si="11"/>
        <v/>
      </c>
    </row>
    <row r="354" spans="2:8">
      <c r="B354" s="3"/>
      <c r="G354" t="str">
        <f t="shared" si="10"/>
        <v/>
      </c>
      <c r="H354" t="str">
        <f t="shared" si="11"/>
        <v/>
      </c>
    </row>
    <row r="355" spans="2:8">
      <c r="B355" s="3"/>
      <c r="G355" t="str">
        <f t="shared" si="10"/>
        <v/>
      </c>
      <c r="H355" t="str">
        <f t="shared" si="11"/>
        <v/>
      </c>
    </row>
    <row r="356" spans="2:8">
      <c r="B356" s="3"/>
      <c r="G356" t="str">
        <f t="shared" si="10"/>
        <v/>
      </c>
      <c r="H356" t="str">
        <f t="shared" si="11"/>
        <v/>
      </c>
    </row>
    <row r="357" spans="2:8">
      <c r="B357" s="3"/>
      <c r="G357" t="str">
        <f t="shared" si="10"/>
        <v/>
      </c>
      <c r="H357" t="str">
        <f t="shared" si="11"/>
        <v/>
      </c>
    </row>
    <row r="358" spans="2:8">
      <c r="B358" s="3"/>
      <c r="G358" t="str">
        <f t="shared" si="10"/>
        <v/>
      </c>
      <c r="H358" t="str">
        <f t="shared" si="11"/>
        <v/>
      </c>
    </row>
    <row r="359" spans="2:8">
      <c r="B359" s="3"/>
      <c r="G359" t="str">
        <f t="shared" si="10"/>
        <v/>
      </c>
      <c r="H359" t="str">
        <f t="shared" si="11"/>
        <v/>
      </c>
    </row>
    <row r="360" spans="2:8">
      <c r="B360" s="3"/>
      <c r="G360" t="str">
        <f t="shared" si="10"/>
        <v/>
      </c>
      <c r="H360" t="str">
        <f t="shared" si="11"/>
        <v/>
      </c>
    </row>
    <row r="361" spans="2:8">
      <c r="B361" s="3"/>
      <c r="G361" t="str">
        <f t="shared" si="10"/>
        <v/>
      </c>
      <c r="H361" t="str">
        <f t="shared" si="11"/>
        <v/>
      </c>
    </row>
    <row r="362" spans="2:8">
      <c r="B362" s="3"/>
      <c r="G362" t="str">
        <f t="shared" si="10"/>
        <v/>
      </c>
      <c r="H362" t="str">
        <f t="shared" si="11"/>
        <v/>
      </c>
    </row>
    <row r="363" spans="2:8">
      <c r="B363" s="3"/>
      <c r="G363" t="str">
        <f t="shared" si="10"/>
        <v/>
      </c>
      <c r="H363" t="str">
        <f t="shared" si="11"/>
        <v/>
      </c>
    </row>
    <row r="364" spans="2:8">
      <c r="B364" s="3"/>
      <c r="G364" t="str">
        <f t="shared" si="10"/>
        <v/>
      </c>
      <c r="H364" t="str">
        <f t="shared" si="11"/>
        <v/>
      </c>
    </row>
    <row r="365" spans="2:8">
      <c r="B365" s="3"/>
      <c r="G365" t="str">
        <f t="shared" si="10"/>
        <v/>
      </c>
      <c r="H365" t="str">
        <f t="shared" si="11"/>
        <v/>
      </c>
    </row>
    <row r="366" spans="2:8">
      <c r="B366" s="3"/>
      <c r="G366" t="str">
        <f t="shared" si="10"/>
        <v/>
      </c>
      <c r="H366" t="str">
        <f t="shared" si="11"/>
        <v/>
      </c>
    </row>
    <row r="367" spans="2:8">
      <c r="B367" s="3"/>
      <c r="G367" t="str">
        <f t="shared" si="10"/>
        <v/>
      </c>
      <c r="H367" t="str">
        <f t="shared" si="11"/>
        <v/>
      </c>
    </row>
    <row r="368" spans="2:8">
      <c r="B368" s="3"/>
      <c r="G368" t="str">
        <f t="shared" si="10"/>
        <v/>
      </c>
      <c r="H368" t="str">
        <f t="shared" si="11"/>
        <v/>
      </c>
    </row>
    <row r="369" spans="2:8">
      <c r="B369" s="3"/>
      <c r="G369" t="str">
        <f t="shared" si="10"/>
        <v/>
      </c>
      <c r="H369" t="str">
        <f t="shared" si="11"/>
        <v/>
      </c>
    </row>
    <row r="370" spans="2:8">
      <c r="B370" s="3"/>
      <c r="G370" t="str">
        <f t="shared" si="10"/>
        <v/>
      </c>
      <c r="H370" t="str">
        <f t="shared" si="11"/>
        <v/>
      </c>
    </row>
    <row r="371" spans="2:8">
      <c r="B371" s="3"/>
      <c r="G371" t="str">
        <f t="shared" si="10"/>
        <v/>
      </c>
      <c r="H371" t="str">
        <f t="shared" si="11"/>
        <v/>
      </c>
    </row>
    <row r="372" spans="2:8">
      <c r="B372" s="3"/>
      <c r="G372" t="str">
        <f t="shared" si="10"/>
        <v/>
      </c>
      <c r="H372" t="str">
        <f t="shared" si="11"/>
        <v/>
      </c>
    </row>
    <row r="373" spans="2:8">
      <c r="B373" s="3"/>
      <c r="G373" t="str">
        <f t="shared" si="10"/>
        <v/>
      </c>
      <c r="H373" t="str">
        <f t="shared" si="11"/>
        <v/>
      </c>
    </row>
    <row r="374" spans="2:8">
      <c r="B374" s="3"/>
      <c r="G374" t="str">
        <f t="shared" si="10"/>
        <v/>
      </c>
      <c r="H374" t="str">
        <f t="shared" si="11"/>
        <v/>
      </c>
    </row>
    <row r="375" spans="2:8">
      <c r="B375" s="3"/>
      <c r="G375" t="str">
        <f t="shared" si="10"/>
        <v/>
      </c>
      <c r="H375" t="str">
        <f t="shared" si="11"/>
        <v/>
      </c>
    </row>
    <row r="376" spans="2:8">
      <c r="B376" s="3"/>
      <c r="G376" t="str">
        <f t="shared" si="10"/>
        <v/>
      </c>
      <c r="H376" t="str">
        <f t="shared" si="11"/>
        <v/>
      </c>
    </row>
    <row r="377" spans="2:8">
      <c r="B377" s="3"/>
      <c r="G377" t="str">
        <f t="shared" si="10"/>
        <v/>
      </c>
      <c r="H377" t="str">
        <f t="shared" si="11"/>
        <v/>
      </c>
    </row>
    <row r="378" spans="2:8">
      <c r="B378" s="3"/>
      <c r="G378" t="str">
        <f t="shared" si="10"/>
        <v/>
      </c>
      <c r="H378" t="str">
        <f t="shared" si="11"/>
        <v/>
      </c>
    </row>
    <row r="379" spans="2:8">
      <c r="B379" s="3"/>
      <c r="G379" t="str">
        <f t="shared" si="10"/>
        <v/>
      </c>
      <c r="H379" t="str">
        <f t="shared" si="11"/>
        <v/>
      </c>
    </row>
    <row r="380" spans="2:8">
      <c r="B380" s="3"/>
      <c r="G380" t="str">
        <f t="shared" si="10"/>
        <v/>
      </c>
      <c r="H380" t="str">
        <f t="shared" si="11"/>
        <v/>
      </c>
    </row>
    <row r="381" spans="2:8">
      <c r="B381" s="3"/>
      <c r="G381" t="str">
        <f t="shared" si="10"/>
        <v/>
      </c>
      <c r="H381" t="str">
        <f t="shared" si="11"/>
        <v/>
      </c>
    </row>
    <row r="382" spans="2:8">
      <c r="B382" s="3"/>
      <c r="G382" t="str">
        <f t="shared" si="10"/>
        <v/>
      </c>
      <c r="H382" t="str">
        <f t="shared" si="11"/>
        <v/>
      </c>
    </row>
    <row r="383" spans="2:8">
      <c r="B383" s="3"/>
      <c r="G383" t="str">
        <f t="shared" si="10"/>
        <v/>
      </c>
      <c r="H383" t="str">
        <f t="shared" si="11"/>
        <v/>
      </c>
    </row>
    <row r="384" spans="2:8">
      <c r="B384" s="3"/>
      <c r="G384" t="str">
        <f t="shared" si="10"/>
        <v/>
      </c>
      <c r="H384" t="str">
        <f t="shared" si="11"/>
        <v/>
      </c>
    </row>
    <row r="385" spans="2:8">
      <c r="B385" s="3"/>
      <c r="G385" t="str">
        <f t="shared" si="10"/>
        <v/>
      </c>
      <c r="H385" t="str">
        <f t="shared" si="11"/>
        <v/>
      </c>
    </row>
    <row r="386" spans="2:8">
      <c r="B386" s="3"/>
      <c r="G386" t="str">
        <f t="shared" si="10"/>
        <v/>
      </c>
      <c r="H386" t="str">
        <f t="shared" si="11"/>
        <v/>
      </c>
    </row>
    <row r="387" spans="2:8">
      <c r="B387" s="3"/>
      <c r="G387" t="str">
        <f t="shared" ref="G387:G450" si="12">IF(OR(E387="",F387=""),"",E387*F387)</f>
        <v/>
      </c>
      <c r="H387" t="str">
        <f t="shared" ref="H387:H450" si="13">IF(OR(C387="",D387=""),"",C387&amp;"|"&amp;D387)</f>
        <v/>
      </c>
    </row>
    <row r="388" spans="2:8">
      <c r="B388" s="3"/>
      <c r="G388" t="str">
        <f t="shared" si="12"/>
        <v/>
      </c>
      <c r="H388" t="str">
        <f t="shared" si="13"/>
        <v/>
      </c>
    </row>
    <row r="389" spans="2:8">
      <c r="B389" s="3"/>
      <c r="G389" t="str">
        <f t="shared" si="12"/>
        <v/>
      </c>
      <c r="H389" t="str">
        <f t="shared" si="13"/>
        <v/>
      </c>
    </row>
    <row r="390" spans="2:8">
      <c r="B390" s="3"/>
      <c r="G390" t="str">
        <f t="shared" si="12"/>
        <v/>
      </c>
      <c r="H390" t="str">
        <f t="shared" si="13"/>
        <v/>
      </c>
    </row>
    <row r="391" spans="2:8">
      <c r="B391" s="3"/>
      <c r="G391" t="str">
        <f t="shared" si="12"/>
        <v/>
      </c>
      <c r="H391" t="str">
        <f t="shared" si="13"/>
        <v/>
      </c>
    </row>
    <row r="392" spans="2:8">
      <c r="B392" s="3"/>
      <c r="G392" t="str">
        <f t="shared" si="12"/>
        <v/>
      </c>
      <c r="H392" t="str">
        <f t="shared" si="13"/>
        <v/>
      </c>
    </row>
    <row r="393" spans="2:8">
      <c r="B393" s="3"/>
      <c r="G393" t="str">
        <f t="shared" si="12"/>
        <v/>
      </c>
      <c r="H393" t="str">
        <f t="shared" si="13"/>
        <v/>
      </c>
    </row>
    <row r="394" spans="2:8">
      <c r="B394" s="3"/>
      <c r="G394" t="str">
        <f t="shared" si="12"/>
        <v/>
      </c>
      <c r="H394" t="str">
        <f t="shared" si="13"/>
        <v/>
      </c>
    </row>
    <row r="395" spans="2:8">
      <c r="B395" s="3"/>
      <c r="G395" t="str">
        <f t="shared" si="12"/>
        <v/>
      </c>
      <c r="H395" t="str">
        <f t="shared" si="13"/>
        <v/>
      </c>
    </row>
    <row r="396" spans="2:8">
      <c r="B396" s="3"/>
      <c r="G396" t="str">
        <f t="shared" si="12"/>
        <v/>
      </c>
      <c r="H396" t="str">
        <f t="shared" si="13"/>
        <v/>
      </c>
    </row>
    <row r="397" spans="2:8">
      <c r="B397" s="3"/>
      <c r="G397" t="str">
        <f t="shared" si="12"/>
        <v/>
      </c>
      <c r="H397" t="str">
        <f t="shared" si="13"/>
        <v/>
      </c>
    </row>
    <row r="398" spans="2:8">
      <c r="B398" s="3"/>
      <c r="G398" t="str">
        <f t="shared" si="12"/>
        <v/>
      </c>
      <c r="H398" t="str">
        <f t="shared" si="13"/>
        <v/>
      </c>
    </row>
    <row r="399" spans="2:8">
      <c r="B399" s="3"/>
      <c r="G399" t="str">
        <f t="shared" si="12"/>
        <v/>
      </c>
      <c r="H399" t="str">
        <f t="shared" si="13"/>
        <v/>
      </c>
    </row>
    <row r="400" spans="2:8">
      <c r="B400" s="3"/>
      <c r="G400" t="str">
        <f t="shared" si="12"/>
        <v/>
      </c>
      <c r="H400" t="str">
        <f t="shared" si="13"/>
        <v/>
      </c>
    </row>
    <row r="401" spans="2:8">
      <c r="B401" s="3"/>
      <c r="G401" t="str">
        <f t="shared" si="12"/>
        <v/>
      </c>
      <c r="H401" t="str">
        <f t="shared" si="13"/>
        <v/>
      </c>
    </row>
    <row r="402" spans="2:8">
      <c r="B402" s="3"/>
      <c r="G402" t="str">
        <f t="shared" si="12"/>
        <v/>
      </c>
      <c r="H402" t="str">
        <f t="shared" si="13"/>
        <v/>
      </c>
    </row>
    <row r="403" spans="2:8">
      <c r="B403" s="3"/>
      <c r="G403" t="str">
        <f t="shared" si="12"/>
        <v/>
      </c>
      <c r="H403" t="str">
        <f t="shared" si="13"/>
        <v/>
      </c>
    </row>
    <row r="404" spans="2:8">
      <c r="B404" s="3"/>
      <c r="G404" t="str">
        <f t="shared" si="12"/>
        <v/>
      </c>
      <c r="H404" t="str">
        <f t="shared" si="13"/>
        <v/>
      </c>
    </row>
    <row r="405" spans="2:8">
      <c r="B405" s="3"/>
      <c r="G405" t="str">
        <f t="shared" si="12"/>
        <v/>
      </c>
      <c r="H405" t="str">
        <f t="shared" si="13"/>
        <v/>
      </c>
    </row>
    <row r="406" spans="2:8">
      <c r="B406" s="3"/>
      <c r="G406" t="str">
        <f t="shared" si="12"/>
        <v/>
      </c>
      <c r="H406" t="str">
        <f t="shared" si="13"/>
        <v/>
      </c>
    </row>
    <row r="407" spans="2:8">
      <c r="B407" s="3"/>
      <c r="G407" t="str">
        <f t="shared" si="12"/>
        <v/>
      </c>
      <c r="H407" t="str">
        <f t="shared" si="13"/>
        <v/>
      </c>
    </row>
    <row r="408" spans="2:8">
      <c r="B408" s="3"/>
      <c r="G408" t="str">
        <f t="shared" si="12"/>
        <v/>
      </c>
      <c r="H408" t="str">
        <f t="shared" si="13"/>
        <v/>
      </c>
    </row>
    <row r="409" spans="2:8">
      <c r="B409" s="3"/>
      <c r="G409" t="str">
        <f t="shared" si="12"/>
        <v/>
      </c>
      <c r="H409" t="str">
        <f t="shared" si="13"/>
        <v/>
      </c>
    </row>
    <row r="410" spans="2:8">
      <c r="B410" s="3"/>
      <c r="G410" t="str">
        <f t="shared" si="12"/>
        <v/>
      </c>
      <c r="H410" t="str">
        <f t="shared" si="13"/>
        <v/>
      </c>
    </row>
    <row r="411" spans="2:8">
      <c r="B411" s="3"/>
      <c r="G411" t="str">
        <f t="shared" si="12"/>
        <v/>
      </c>
      <c r="H411" t="str">
        <f t="shared" si="13"/>
        <v/>
      </c>
    </row>
    <row r="412" spans="2:8">
      <c r="B412" s="3"/>
      <c r="G412" t="str">
        <f t="shared" si="12"/>
        <v/>
      </c>
      <c r="H412" t="str">
        <f t="shared" si="13"/>
        <v/>
      </c>
    </row>
    <row r="413" spans="2:8">
      <c r="B413" s="3"/>
      <c r="G413" t="str">
        <f t="shared" si="12"/>
        <v/>
      </c>
      <c r="H413" t="str">
        <f t="shared" si="13"/>
        <v/>
      </c>
    </row>
    <row r="414" spans="2:8">
      <c r="B414" s="3"/>
      <c r="G414" t="str">
        <f t="shared" si="12"/>
        <v/>
      </c>
      <c r="H414" t="str">
        <f t="shared" si="13"/>
        <v/>
      </c>
    </row>
    <row r="415" spans="2:8">
      <c r="B415" s="3"/>
      <c r="G415" t="str">
        <f t="shared" si="12"/>
        <v/>
      </c>
      <c r="H415" t="str">
        <f t="shared" si="13"/>
        <v/>
      </c>
    </row>
    <row r="416" spans="2:8">
      <c r="B416" s="3"/>
      <c r="G416" t="str">
        <f t="shared" si="12"/>
        <v/>
      </c>
      <c r="H416" t="str">
        <f t="shared" si="13"/>
        <v/>
      </c>
    </row>
    <row r="417" spans="2:8">
      <c r="B417" s="3"/>
      <c r="G417" t="str">
        <f t="shared" si="12"/>
        <v/>
      </c>
      <c r="H417" t="str">
        <f t="shared" si="13"/>
        <v/>
      </c>
    </row>
    <row r="418" spans="2:8">
      <c r="B418" s="3"/>
      <c r="G418" t="str">
        <f t="shared" si="12"/>
        <v/>
      </c>
      <c r="H418" t="str">
        <f t="shared" si="13"/>
        <v/>
      </c>
    </row>
    <row r="419" spans="2:8">
      <c r="B419" s="3"/>
      <c r="G419" t="str">
        <f t="shared" si="12"/>
        <v/>
      </c>
      <c r="H419" t="str">
        <f t="shared" si="13"/>
        <v/>
      </c>
    </row>
    <row r="420" spans="2:8">
      <c r="B420" s="3"/>
      <c r="G420" t="str">
        <f t="shared" si="12"/>
        <v/>
      </c>
      <c r="H420" t="str">
        <f t="shared" si="13"/>
        <v/>
      </c>
    </row>
    <row r="421" spans="2:8">
      <c r="B421" s="3"/>
      <c r="G421" t="str">
        <f t="shared" si="12"/>
        <v/>
      </c>
      <c r="H421" t="str">
        <f t="shared" si="13"/>
        <v/>
      </c>
    </row>
    <row r="422" spans="2:8">
      <c r="B422" s="3"/>
      <c r="G422" t="str">
        <f t="shared" si="12"/>
        <v/>
      </c>
      <c r="H422" t="str">
        <f t="shared" si="13"/>
        <v/>
      </c>
    </row>
    <row r="423" spans="2:8">
      <c r="B423" s="3"/>
      <c r="G423" t="str">
        <f t="shared" si="12"/>
        <v/>
      </c>
      <c r="H423" t="str">
        <f t="shared" si="13"/>
        <v/>
      </c>
    </row>
    <row r="424" spans="2:8">
      <c r="B424" s="3"/>
      <c r="G424" t="str">
        <f t="shared" si="12"/>
        <v/>
      </c>
      <c r="H424" t="str">
        <f t="shared" si="13"/>
        <v/>
      </c>
    </row>
    <row r="425" spans="2:8">
      <c r="B425" s="3"/>
      <c r="G425" t="str">
        <f t="shared" si="12"/>
        <v/>
      </c>
      <c r="H425" t="str">
        <f t="shared" si="13"/>
        <v/>
      </c>
    </row>
    <row r="426" spans="2:8">
      <c r="B426" s="3"/>
      <c r="G426" t="str">
        <f t="shared" si="12"/>
        <v/>
      </c>
      <c r="H426" t="str">
        <f t="shared" si="13"/>
        <v/>
      </c>
    </row>
    <row r="427" spans="2:8">
      <c r="B427" s="3"/>
      <c r="G427" t="str">
        <f t="shared" si="12"/>
        <v/>
      </c>
      <c r="H427" t="str">
        <f t="shared" si="13"/>
        <v/>
      </c>
    </row>
    <row r="428" spans="2:8">
      <c r="B428" s="3"/>
      <c r="G428" t="str">
        <f t="shared" si="12"/>
        <v/>
      </c>
      <c r="H428" t="str">
        <f t="shared" si="13"/>
        <v/>
      </c>
    </row>
    <row r="429" spans="2:8">
      <c r="B429" s="3"/>
      <c r="G429" t="str">
        <f t="shared" si="12"/>
        <v/>
      </c>
      <c r="H429" t="str">
        <f t="shared" si="13"/>
        <v/>
      </c>
    </row>
    <row r="430" spans="2:8">
      <c r="B430" s="3"/>
      <c r="G430" t="str">
        <f t="shared" si="12"/>
        <v/>
      </c>
      <c r="H430" t="str">
        <f t="shared" si="13"/>
        <v/>
      </c>
    </row>
    <row r="431" spans="2:8">
      <c r="B431" s="3"/>
      <c r="G431" t="str">
        <f t="shared" si="12"/>
        <v/>
      </c>
      <c r="H431" t="str">
        <f t="shared" si="13"/>
        <v/>
      </c>
    </row>
    <row r="432" spans="2:8">
      <c r="B432" s="3"/>
      <c r="G432" t="str">
        <f t="shared" si="12"/>
        <v/>
      </c>
      <c r="H432" t="str">
        <f t="shared" si="13"/>
        <v/>
      </c>
    </row>
    <row r="433" spans="2:8">
      <c r="B433" s="3"/>
      <c r="G433" t="str">
        <f t="shared" si="12"/>
        <v/>
      </c>
      <c r="H433" t="str">
        <f t="shared" si="13"/>
        <v/>
      </c>
    </row>
    <row r="434" spans="2:8">
      <c r="B434" s="3"/>
      <c r="G434" t="str">
        <f t="shared" si="12"/>
        <v/>
      </c>
      <c r="H434" t="str">
        <f t="shared" si="13"/>
        <v/>
      </c>
    </row>
    <row r="435" spans="2:8">
      <c r="B435" s="3"/>
      <c r="G435" t="str">
        <f t="shared" si="12"/>
        <v/>
      </c>
      <c r="H435" t="str">
        <f t="shared" si="13"/>
        <v/>
      </c>
    </row>
    <row r="436" spans="2:8">
      <c r="B436" s="3"/>
      <c r="G436" t="str">
        <f t="shared" si="12"/>
        <v/>
      </c>
      <c r="H436" t="str">
        <f t="shared" si="13"/>
        <v/>
      </c>
    </row>
    <row r="437" spans="2:8">
      <c r="B437" s="3"/>
      <c r="G437" t="str">
        <f t="shared" si="12"/>
        <v/>
      </c>
      <c r="H437" t="str">
        <f t="shared" si="13"/>
        <v/>
      </c>
    </row>
    <row r="438" spans="2:8">
      <c r="B438" s="3"/>
      <c r="G438" t="str">
        <f t="shared" si="12"/>
        <v/>
      </c>
      <c r="H438" t="str">
        <f t="shared" si="13"/>
        <v/>
      </c>
    </row>
    <row r="439" spans="2:8">
      <c r="B439" s="3"/>
      <c r="G439" t="str">
        <f t="shared" si="12"/>
        <v/>
      </c>
      <c r="H439" t="str">
        <f t="shared" si="13"/>
        <v/>
      </c>
    </row>
    <row r="440" spans="2:8">
      <c r="B440" s="3"/>
      <c r="G440" t="str">
        <f t="shared" si="12"/>
        <v/>
      </c>
      <c r="H440" t="str">
        <f t="shared" si="13"/>
        <v/>
      </c>
    </row>
    <row r="441" spans="2:8">
      <c r="B441" s="3"/>
      <c r="G441" t="str">
        <f t="shared" si="12"/>
        <v/>
      </c>
      <c r="H441" t="str">
        <f t="shared" si="13"/>
        <v/>
      </c>
    </row>
    <row r="442" spans="2:8">
      <c r="B442" s="3"/>
      <c r="G442" t="str">
        <f t="shared" si="12"/>
        <v/>
      </c>
      <c r="H442" t="str">
        <f t="shared" si="13"/>
        <v/>
      </c>
    </row>
    <row r="443" spans="2:8">
      <c r="B443" s="3"/>
      <c r="G443" t="str">
        <f t="shared" si="12"/>
        <v/>
      </c>
      <c r="H443" t="str">
        <f t="shared" si="13"/>
        <v/>
      </c>
    </row>
    <row r="444" spans="2:8">
      <c r="B444" s="3"/>
      <c r="G444" t="str">
        <f t="shared" si="12"/>
        <v/>
      </c>
      <c r="H444" t="str">
        <f t="shared" si="13"/>
        <v/>
      </c>
    </row>
    <row r="445" spans="2:8">
      <c r="B445" s="3"/>
      <c r="G445" t="str">
        <f t="shared" si="12"/>
        <v/>
      </c>
      <c r="H445" t="str">
        <f t="shared" si="13"/>
        <v/>
      </c>
    </row>
    <row r="446" spans="2:8">
      <c r="B446" s="3"/>
      <c r="G446" t="str">
        <f t="shared" si="12"/>
        <v/>
      </c>
      <c r="H446" t="str">
        <f t="shared" si="13"/>
        <v/>
      </c>
    </row>
    <row r="447" spans="2:8">
      <c r="B447" s="3"/>
      <c r="G447" t="str">
        <f t="shared" si="12"/>
        <v/>
      </c>
      <c r="H447" t="str">
        <f t="shared" si="13"/>
        <v/>
      </c>
    </row>
    <row r="448" spans="2:8">
      <c r="B448" s="3"/>
      <c r="G448" t="str">
        <f t="shared" si="12"/>
        <v/>
      </c>
      <c r="H448" t="str">
        <f t="shared" si="13"/>
        <v/>
      </c>
    </row>
    <row r="449" spans="2:8">
      <c r="B449" s="3"/>
      <c r="G449" t="str">
        <f t="shared" si="12"/>
        <v/>
      </c>
      <c r="H449" t="str">
        <f t="shared" si="13"/>
        <v/>
      </c>
    </row>
    <row r="450" spans="2:8">
      <c r="B450" s="3"/>
      <c r="G450" t="str">
        <f t="shared" si="12"/>
        <v/>
      </c>
      <c r="H450" t="str">
        <f t="shared" si="13"/>
        <v/>
      </c>
    </row>
    <row r="451" spans="2:8">
      <c r="B451" s="3"/>
      <c r="G451" t="str">
        <f t="shared" ref="G451:G514" si="14">IF(OR(E451="",F451=""),"",E451*F451)</f>
        <v/>
      </c>
      <c r="H451" t="str">
        <f t="shared" ref="H451:H514" si="15">IF(OR(C451="",D451=""),"",C451&amp;"|"&amp;D451)</f>
        <v/>
      </c>
    </row>
    <row r="452" spans="2:8">
      <c r="B452" s="3"/>
      <c r="G452" t="str">
        <f t="shared" si="14"/>
        <v/>
      </c>
      <c r="H452" t="str">
        <f t="shared" si="15"/>
        <v/>
      </c>
    </row>
    <row r="453" spans="2:8">
      <c r="B453" s="3"/>
      <c r="G453" t="str">
        <f t="shared" si="14"/>
        <v/>
      </c>
      <c r="H453" t="str">
        <f t="shared" si="15"/>
        <v/>
      </c>
    </row>
    <row r="454" spans="2:8">
      <c r="B454" s="3"/>
      <c r="G454" t="str">
        <f t="shared" si="14"/>
        <v/>
      </c>
      <c r="H454" t="str">
        <f t="shared" si="15"/>
        <v/>
      </c>
    </row>
    <row r="455" spans="2:8">
      <c r="B455" s="3"/>
      <c r="G455" t="str">
        <f t="shared" si="14"/>
        <v/>
      </c>
      <c r="H455" t="str">
        <f t="shared" si="15"/>
        <v/>
      </c>
    </row>
    <row r="456" spans="2:8">
      <c r="B456" s="3"/>
      <c r="G456" t="str">
        <f t="shared" si="14"/>
        <v/>
      </c>
      <c r="H456" t="str">
        <f t="shared" si="15"/>
        <v/>
      </c>
    </row>
    <row r="457" spans="2:8">
      <c r="B457" s="3"/>
      <c r="G457" t="str">
        <f t="shared" si="14"/>
        <v/>
      </c>
      <c r="H457" t="str">
        <f t="shared" si="15"/>
        <v/>
      </c>
    </row>
    <row r="458" spans="2:8">
      <c r="B458" s="3"/>
      <c r="G458" t="str">
        <f t="shared" si="14"/>
        <v/>
      </c>
      <c r="H458" t="str">
        <f t="shared" si="15"/>
        <v/>
      </c>
    </row>
    <row r="459" spans="2:8">
      <c r="B459" s="3"/>
      <c r="G459" t="str">
        <f t="shared" si="14"/>
        <v/>
      </c>
      <c r="H459" t="str">
        <f t="shared" si="15"/>
        <v/>
      </c>
    </row>
    <row r="460" spans="2:8">
      <c r="B460" s="3"/>
      <c r="G460" t="str">
        <f t="shared" si="14"/>
        <v/>
      </c>
      <c r="H460" t="str">
        <f t="shared" si="15"/>
        <v/>
      </c>
    </row>
    <row r="461" spans="2:8">
      <c r="B461" s="3"/>
      <c r="G461" t="str">
        <f t="shared" si="14"/>
        <v/>
      </c>
      <c r="H461" t="str">
        <f t="shared" si="15"/>
        <v/>
      </c>
    </row>
    <row r="462" spans="2:8">
      <c r="B462" s="3"/>
      <c r="G462" t="str">
        <f t="shared" si="14"/>
        <v/>
      </c>
      <c r="H462" t="str">
        <f t="shared" si="15"/>
        <v/>
      </c>
    </row>
    <row r="463" spans="2:8">
      <c r="B463" s="3"/>
      <c r="G463" t="str">
        <f t="shared" si="14"/>
        <v/>
      </c>
      <c r="H463" t="str">
        <f t="shared" si="15"/>
        <v/>
      </c>
    </row>
    <row r="464" spans="2:8">
      <c r="B464" s="3"/>
      <c r="G464" t="str">
        <f t="shared" si="14"/>
        <v/>
      </c>
      <c r="H464" t="str">
        <f t="shared" si="15"/>
        <v/>
      </c>
    </row>
    <row r="465" spans="2:8">
      <c r="B465" s="3"/>
      <c r="G465" t="str">
        <f t="shared" si="14"/>
        <v/>
      </c>
      <c r="H465" t="str">
        <f t="shared" si="15"/>
        <v/>
      </c>
    </row>
    <row r="466" spans="2:8">
      <c r="B466" s="3"/>
      <c r="G466" t="str">
        <f t="shared" si="14"/>
        <v/>
      </c>
      <c r="H466" t="str">
        <f t="shared" si="15"/>
        <v/>
      </c>
    </row>
    <row r="467" spans="2:8">
      <c r="B467" s="3"/>
      <c r="G467" t="str">
        <f t="shared" si="14"/>
        <v/>
      </c>
      <c r="H467" t="str">
        <f t="shared" si="15"/>
        <v/>
      </c>
    </row>
    <row r="468" spans="2:8">
      <c r="B468" s="3"/>
      <c r="G468" t="str">
        <f t="shared" si="14"/>
        <v/>
      </c>
      <c r="H468" t="str">
        <f t="shared" si="15"/>
        <v/>
      </c>
    </row>
    <row r="469" spans="2:8">
      <c r="B469" s="3"/>
      <c r="G469" t="str">
        <f t="shared" si="14"/>
        <v/>
      </c>
      <c r="H469" t="str">
        <f t="shared" si="15"/>
        <v/>
      </c>
    </row>
    <row r="470" spans="2:8">
      <c r="B470" s="3"/>
      <c r="G470" t="str">
        <f t="shared" si="14"/>
        <v/>
      </c>
      <c r="H470" t="str">
        <f t="shared" si="15"/>
        <v/>
      </c>
    </row>
    <row r="471" spans="2:8">
      <c r="B471" s="3"/>
      <c r="G471" t="str">
        <f t="shared" si="14"/>
        <v/>
      </c>
      <c r="H471" t="str">
        <f t="shared" si="15"/>
        <v/>
      </c>
    </row>
    <row r="472" spans="2:8">
      <c r="B472" s="3"/>
      <c r="G472" t="str">
        <f t="shared" si="14"/>
        <v/>
      </c>
      <c r="H472" t="str">
        <f t="shared" si="15"/>
        <v/>
      </c>
    </row>
    <row r="473" spans="2:8">
      <c r="B473" s="3"/>
      <c r="G473" t="str">
        <f t="shared" si="14"/>
        <v/>
      </c>
      <c r="H473" t="str">
        <f t="shared" si="15"/>
        <v/>
      </c>
    </row>
    <row r="474" spans="2:8">
      <c r="B474" s="3"/>
      <c r="G474" t="str">
        <f t="shared" si="14"/>
        <v/>
      </c>
      <c r="H474" t="str">
        <f t="shared" si="15"/>
        <v/>
      </c>
    </row>
    <row r="475" spans="2:8">
      <c r="B475" s="3"/>
      <c r="G475" t="str">
        <f t="shared" si="14"/>
        <v/>
      </c>
      <c r="H475" t="str">
        <f t="shared" si="15"/>
        <v/>
      </c>
    </row>
    <row r="476" spans="2:8">
      <c r="B476" s="3"/>
      <c r="G476" t="str">
        <f t="shared" si="14"/>
        <v/>
      </c>
      <c r="H476" t="str">
        <f t="shared" si="15"/>
        <v/>
      </c>
    </row>
    <row r="477" spans="2:8">
      <c r="B477" s="3"/>
      <c r="G477" t="str">
        <f t="shared" si="14"/>
        <v/>
      </c>
      <c r="H477" t="str">
        <f t="shared" si="15"/>
        <v/>
      </c>
    </row>
    <row r="478" spans="2:8">
      <c r="B478" s="3"/>
      <c r="G478" t="str">
        <f t="shared" si="14"/>
        <v/>
      </c>
      <c r="H478" t="str">
        <f t="shared" si="15"/>
        <v/>
      </c>
    </row>
    <row r="479" spans="2:8">
      <c r="B479" s="3"/>
      <c r="G479" t="str">
        <f t="shared" si="14"/>
        <v/>
      </c>
      <c r="H479" t="str">
        <f t="shared" si="15"/>
        <v/>
      </c>
    </row>
    <row r="480" spans="2:8">
      <c r="B480" s="3"/>
      <c r="G480" t="str">
        <f t="shared" si="14"/>
        <v/>
      </c>
      <c r="H480" t="str">
        <f t="shared" si="15"/>
        <v/>
      </c>
    </row>
    <row r="481" spans="2:8">
      <c r="B481" s="3"/>
      <c r="G481" t="str">
        <f t="shared" si="14"/>
        <v/>
      </c>
      <c r="H481" t="str">
        <f t="shared" si="15"/>
        <v/>
      </c>
    </row>
    <row r="482" spans="2:8">
      <c r="B482" s="3"/>
      <c r="G482" t="str">
        <f t="shared" si="14"/>
        <v/>
      </c>
      <c r="H482" t="str">
        <f t="shared" si="15"/>
        <v/>
      </c>
    </row>
    <row r="483" spans="2:8">
      <c r="B483" s="3"/>
      <c r="G483" t="str">
        <f t="shared" si="14"/>
        <v/>
      </c>
      <c r="H483" t="str">
        <f t="shared" si="15"/>
        <v/>
      </c>
    </row>
    <row r="484" spans="2:8">
      <c r="B484" s="3"/>
      <c r="G484" t="str">
        <f t="shared" si="14"/>
        <v/>
      </c>
      <c r="H484" t="str">
        <f t="shared" si="15"/>
        <v/>
      </c>
    </row>
    <row r="485" spans="2:8">
      <c r="B485" s="3"/>
      <c r="G485" t="str">
        <f t="shared" si="14"/>
        <v/>
      </c>
      <c r="H485" t="str">
        <f t="shared" si="15"/>
        <v/>
      </c>
    </row>
    <row r="486" spans="2:8">
      <c r="B486" s="3"/>
      <c r="G486" t="str">
        <f t="shared" si="14"/>
        <v/>
      </c>
      <c r="H486" t="str">
        <f t="shared" si="15"/>
        <v/>
      </c>
    </row>
    <row r="487" spans="2:8">
      <c r="B487" s="3"/>
      <c r="G487" t="str">
        <f t="shared" si="14"/>
        <v/>
      </c>
      <c r="H487" t="str">
        <f t="shared" si="15"/>
        <v/>
      </c>
    </row>
    <row r="488" spans="2:8">
      <c r="B488" s="3"/>
      <c r="G488" t="str">
        <f t="shared" si="14"/>
        <v/>
      </c>
      <c r="H488" t="str">
        <f t="shared" si="15"/>
        <v/>
      </c>
    </row>
    <row r="489" spans="2:8">
      <c r="B489" s="3"/>
      <c r="G489" t="str">
        <f t="shared" si="14"/>
        <v/>
      </c>
      <c r="H489" t="str">
        <f t="shared" si="15"/>
        <v/>
      </c>
    </row>
    <row r="490" spans="2:8">
      <c r="B490" s="3"/>
      <c r="G490" t="str">
        <f t="shared" si="14"/>
        <v/>
      </c>
      <c r="H490" t="str">
        <f t="shared" si="15"/>
        <v/>
      </c>
    </row>
    <row r="491" spans="2:8">
      <c r="B491" s="3"/>
      <c r="G491" t="str">
        <f t="shared" si="14"/>
        <v/>
      </c>
      <c r="H491" t="str">
        <f t="shared" si="15"/>
        <v/>
      </c>
    </row>
    <row r="492" spans="2:8">
      <c r="B492" s="3"/>
      <c r="G492" t="str">
        <f t="shared" si="14"/>
        <v/>
      </c>
      <c r="H492" t="str">
        <f t="shared" si="15"/>
        <v/>
      </c>
    </row>
    <row r="493" spans="2:8">
      <c r="B493" s="3"/>
      <c r="G493" t="str">
        <f t="shared" si="14"/>
        <v/>
      </c>
      <c r="H493" t="str">
        <f t="shared" si="15"/>
        <v/>
      </c>
    </row>
    <row r="494" spans="2:8">
      <c r="B494" s="3"/>
      <c r="G494" t="str">
        <f t="shared" si="14"/>
        <v/>
      </c>
      <c r="H494" t="str">
        <f t="shared" si="15"/>
        <v/>
      </c>
    </row>
    <row r="495" spans="2:8">
      <c r="B495" s="3"/>
      <c r="G495" t="str">
        <f t="shared" si="14"/>
        <v/>
      </c>
      <c r="H495" t="str">
        <f t="shared" si="15"/>
        <v/>
      </c>
    </row>
    <row r="496" spans="2:8">
      <c r="B496" s="3"/>
      <c r="G496" t="str">
        <f t="shared" si="14"/>
        <v/>
      </c>
      <c r="H496" t="str">
        <f t="shared" si="15"/>
        <v/>
      </c>
    </row>
    <row r="497" spans="2:8">
      <c r="B497" s="3"/>
      <c r="G497" t="str">
        <f t="shared" si="14"/>
        <v/>
      </c>
      <c r="H497" t="str">
        <f t="shared" si="15"/>
        <v/>
      </c>
    </row>
    <row r="498" spans="2:8">
      <c r="B498" s="3"/>
      <c r="G498" t="str">
        <f t="shared" si="14"/>
        <v/>
      </c>
      <c r="H498" t="str">
        <f t="shared" si="15"/>
        <v/>
      </c>
    </row>
    <row r="499" spans="2:8">
      <c r="B499" s="3"/>
      <c r="G499" t="str">
        <f t="shared" si="14"/>
        <v/>
      </c>
      <c r="H499" t="str">
        <f t="shared" si="15"/>
        <v/>
      </c>
    </row>
    <row r="500" spans="2:8">
      <c r="B500" s="3"/>
      <c r="G500" t="str">
        <f t="shared" si="14"/>
        <v/>
      </c>
      <c r="H500" t="str">
        <f t="shared" si="15"/>
        <v/>
      </c>
    </row>
    <row r="501" spans="2:8">
      <c r="B501" s="3"/>
      <c r="G501" t="str">
        <f t="shared" si="14"/>
        <v/>
      </c>
      <c r="H501" t="str">
        <f t="shared" si="15"/>
        <v/>
      </c>
    </row>
    <row r="502" spans="2:8">
      <c r="B502" s="3"/>
      <c r="G502" t="str">
        <f t="shared" si="14"/>
        <v/>
      </c>
      <c r="H502" t="str">
        <f t="shared" si="15"/>
        <v/>
      </c>
    </row>
    <row r="503" spans="2:8">
      <c r="B503" s="3"/>
      <c r="G503" t="str">
        <f t="shared" si="14"/>
        <v/>
      </c>
      <c r="H503" t="str">
        <f t="shared" si="15"/>
        <v/>
      </c>
    </row>
    <row r="504" spans="2:8">
      <c r="B504" s="3"/>
      <c r="G504" t="str">
        <f t="shared" si="14"/>
        <v/>
      </c>
      <c r="H504" t="str">
        <f t="shared" si="15"/>
        <v/>
      </c>
    </row>
    <row r="505" spans="2:8">
      <c r="B505" s="3"/>
      <c r="G505" t="str">
        <f t="shared" si="14"/>
        <v/>
      </c>
      <c r="H505" t="str">
        <f t="shared" si="15"/>
        <v/>
      </c>
    </row>
    <row r="506" spans="2:8">
      <c r="B506" s="3"/>
      <c r="G506" t="str">
        <f t="shared" si="14"/>
        <v/>
      </c>
      <c r="H506" t="str">
        <f t="shared" si="15"/>
        <v/>
      </c>
    </row>
    <row r="507" spans="2:8">
      <c r="B507" s="3"/>
      <c r="G507" t="str">
        <f t="shared" si="14"/>
        <v/>
      </c>
      <c r="H507" t="str">
        <f t="shared" si="15"/>
        <v/>
      </c>
    </row>
    <row r="508" spans="2:8">
      <c r="B508" s="3"/>
      <c r="G508" t="str">
        <f t="shared" si="14"/>
        <v/>
      </c>
      <c r="H508" t="str">
        <f t="shared" si="15"/>
        <v/>
      </c>
    </row>
    <row r="509" spans="2:8">
      <c r="B509" s="3"/>
      <c r="G509" t="str">
        <f t="shared" si="14"/>
        <v/>
      </c>
      <c r="H509" t="str">
        <f t="shared" si="15"/>
        <v/>
      </c>
    </row>
    <row r="510" spans="2:8">
      <c r="B510" s="3"/>
      <c r="G510" t="str">
        <f t="shared" si="14"/>
        <v/>
      </c>
      <c r="H510" t="str">
        <f t="shared" si="15"/>
        <v/>
      </c>
    </row>
    <row r="511" spans="2:8">
      <c r="B511" s="3"/>
      <c r="G511" t="str">
        <f t="shared" si="14"/>
        <v/>
      </c>
      <c r="H511" t="str">
        <f t="shared" si="15"/>
        <v/>
      </c>
    </row>
    <row r="512" spans="2:8">
      <c r="B512" s="3"/>
      <c r="G512" t="str">
        <f t="shared" si="14"/>
        <v/>
      </c>
      <c r="H512" t="str">
        <f t="shared" si="15"/>
        <v/>
      </c>
    </row>
    <row r="513" spans="2:8">
      <c r="B513" s="3"/>
      <c r="G513" t="str">
        <f t="shared" si="14"/>
        <v/>
      </c>
      <c r="H513" t="str">
        <f t="shared" si="15"/>
        <v/>
      </c>
    </row>
    <row r="514" spans="2:8">
      <c r="B514" s="3"/>
      <c r="G514" t="str">
        <f t="shared" si="14"/>
        <v/>
      </c>
      <c r="H514" t="str">
        <f t="shared" si="15"/>
        <v/>
      </c>
    </row>
    <row r="515" spans="2:8">
      <c r="B515" s="3"/>
      <c r="G515" t="str">
        <f t="shared" ref="G515:G578" si="16">IF(OR(E515="",F515=""),"",E515*F515)</f>
        <v/>
      </c>
      <c r="H515" t="str">
        <f t="shared" ref="H515:H578" si="17">IF(OR(C515="",D515=""),"",C515&amp;"|"&amp;D515)</f>
        <v/>
      </c>
    </row>
    <row r="516" spans="2:8">
      <c r="B516" s="3"/>
      <c r="G516" t="str">
        <f t="shared" si="16"/>
        <v/>
      </c>
      <c r="H516" t="str">
        <f t="shared" si="17"/>
        <v/>
      </c>
    </row>
    <row r="517" spans="2:8">
      <c r="B517" s="3"/>
      <c r="G517" t="str">
        <f t="shared" si="16"/>
        <v/>
      </c>
      <c r="H517" t="str">
        <f t="shared" si="17"/>
        <v/>
      </c>
    </row>
    <row r="518" spans="2:8">
      <c r="B518" s="3"/>
      <c r="G518" t="str">
        <f t="shared" si="16"/>
        <v/>
      </c>
      <c r="H518" t="str">
        <f t="shared" si="17"/>
        <v/>
      </c>
    </row>
    <row r="519" spans="2:8">
      <c r="B519" s="3"/>
      <c r="G519" t="str">
        <f t="shared" si="16"/>
        <v/>
      </c>
      <c r="H519" t="str">
        <f t="shared" si="17"/>
        <v/>
      </c>
    </row>
    <row r="520" spans="2:8">
      <c r="B520" s="3"/>
      <c r="G520" t="str">
        <f t="shared" si="16"/>
        <v/>
      </c>
      <c r="H520" t="str">
        <f t="shared" si="17"/>
        <v/>
      </c>
    </row>
    <row r="521" spans="2:8">
      <c r="B521" s="3"/>
      <c r="G521" t="str">
        <f t="shared" si="16"/>
        <v/>
      </c>
      <c r="H521" t="str">
        <f t="shared" si="17"/>
        <v/>
      </c>
    </row>
    <row r="522" spans="2:8">
      <c r="B522" s="3"/>
      <c r="G522" t="str">
        <f t="shared" si="16"/>
        <v/>
      </c>
      <c r="H522" t="str">
        <f t="shared" si="17"/>
        <v/>
      </c>
    </row>
    <row r="523" spans="2:8">
      <c r="B523" s="3"/>
      <c r="G523" t="str">
        <f t="shared" si="16"/>
        <v/>
      </c>
      <c r="H523" t="str">
        <f t="shared" si="17"/>
        <v/>
      </c>
    </row>
    <row r="524" spans="2:8">
      <c r="B524" s="3"/>
      <c r="G524" t="str">
        <f t="shared" si="16"/>
        <v/>
      </c>
      <c r="H524" t="str">
        <f t="shared" si="17"/>
        <v/>
      </c>
    </row>
    <row r="525" spans="2:8">
      <c r="B525" s="3"/>
      <c r="G525" t="str">
        <f t="shared" si="16"/>
        <v/>
      </c>
      <c r="H525" t="str">
        <f t="shared" si="17"/>
        <v/>
      </c>
    </row>
    <row r="526" spans="2:8">
      <c r="B526" s="3"/>
      <c r="G526" t="str">
        <f t="shared" si="16"/>
        <v/>
      </c>
      <c r="H526" t="str">
        <f t="shared" si="17"/>
        <v/>
      </c>
    </row>
    <row r="527" spans="2:8">
      <c r="B527" s="3"/>
      <c r="G527" t="str">
        <f t="shared" si="16"/>
        <v/>
      </c>
      <c r="H527" t="str">
        <f t="shared" si="17"/>
        <v/>
      </c>
    </row>
    <row r="528" spans="2:8">
      <c r="B528" s="3"/>
      <c r="G528" t="str">
        <f t="shared" si="16"/>
        <v/>
      </c>
      <c r="H528" t="str">
        <f t="shared" si="17"/>
        <v/>
      </c>
    </row>
    <row r="529" spans="2:8">
      <c r="B529" s="3"/>
      <c r="G529" t="str">
        <f t="shared" si="16"/>
        <v/>
      </c>
      <c r="H529" t="str">
        <f t="shared" si="17"/>
        <v/>
      </c>
    </row>
    <row r="530" spans="2:8">
      <c r="B530" s="3"/>
      <c r="G530" t="str">
        <f t="shared" si="16"/>
        <v/>
      </c>
      <c r="H530" t="str">
        <f t="shared" si="17"/>
        <v/>
      </c>
    </row>
    <row r="531" spans="2:8">
      <c r="B531" s="3"/>
      <c r="G531" t="str">
        <f t="shared" si="16"/>
        <v/>
      </c>
      <c r="H531" t="str">
        <f t="shared" si="17"/>
        <v/>
      </c>
    </row>
    <row r="532" spans="2:8">
      <c r="B532" s="3"/>
      <c r="G532" t="str">
        <f t="shared" si="16"/>
        <v/>
      </c>
      <c r="H532" t="str">
        <f t="shared" si="17"/>
        <v/>
      </c>
    </row>
    <row r="533" spans="2:8">
      <c r="B533" s="3"/>
      <c r="G533" t="str">
        <f t="shared" si="16"/>
        <v/>
      </c>
      <c r="H533" t="str">
        <f t="shared" si="17"/>
        <v/>
      </c>
    </row>
    <row r="534" spans="2:8">
      <c r="B534" s="3"/>
      <c r="G534" t="str">
        <f t="shared" si="16"/>
        <v/>
      </c>
      <c r="H534" t="str">
        <f t="shared" si="17"/>
        <v/>
      </c>
    </row>
    <row r="535" spans="2:8">
      <c r="B535" s="3"/>
      <c r="G535" t="str">
        <f t="shared" si="16"/>
        <v/>
      </c>
      <c r="H535" t="str">
        <f t="shared" si="17"/>
        <v/>
      </c>
    </row>
    <row r="536" spans="2:8">
      <c r="B536" s="3"/>
      <c r="G536" t="str">
        <f t="shared" si="16"/>
        <v/>
      </c>
      <c r="H536" t="str">
        <f t="shared" si="17"/>
        <v/>
      </c>
    </row>
    <row r="537" spans="2:8">
      <c r="B537" s="3"/>
      <c r="G537" t="str">
        <f t="shared" si="16"/>
        <v/>
      </c>
      <c r="H537" t="str">
        <f t="shared" si="17"/>
        <v/>
      </c>
    </row>
    <row r="538" spans="2:8">
      <c r="B538" s="3"/>
      <c r="G538" t="str">
        <f t="shared" si="16"/>
        <v/>
      </c>
      <c r="H538" t="str">
        <f t="shared" si="17"/>
        <v/>
      </c>
    </row>
    <row r="539" spans="2:8">
      <c r="B539" s="3"/>
      <c r="G539" t="str">
        <f t="shared" si="16"/>
        <v/>
      </c>
      <c r="H539" t="str">
        <f t="shared" si="17"/>
        <v/>
      </c>
    </row>
    <row r="540" spans="2:8">
      <c r="B540" s="3"/>
      <c r="G540" t="str">
        <f t="shared" si="16"/>
        <v/>
      </c>
      <c r="H540" t="str">
        <f t="shared" si="17"/>
        <v/>
      </c>
    </row>
    <row r="541" spans="2:8">
      <c r="B541" s="3"/>
      <c r="G541" t="str">
        <f t="shared" si="16"/>
        <v/>
      </c>
      <c r="H541" t="str">
        <f t="shared" si="17"/>
        <v/>
      </c>
    </row>
    <row r="542" spans="2:8">
      <c r="B542" s="3"/>
      <c r="G542" t="str">
        <f t="shared" si="16"/>
        <v/>
      </c>
      <c r="H542" t="str">
        <f t="shared" si="17"/>
        <v/>
      </c>
    </row>
    <row r="543" spans="2:8">
      <c r="B543" s="3"/>
      <c r="G543" t="str">
        <f t="shared" si="16"/>
        <v/>
      </c>
      <c r="H543" t="str">
        <f t="shared" si="17"/>
        <v/>
      </c>
    </row>
    <row r="544" spans="2:8">
      <c r="B544" s="3"/>
      <c r="G544" t="str">
        <f t="shared" si="16"/>
        <v/>
      </c>
      <c r="H544" t="str">
        <f t="shared" si="17"/>
        <v/>
      </c>
    </row>
    <row r="545" spans="2:8">
      <c r="B545" s="3"/>
      <c r="G545" t="str">
        <f t="shared" si="16"/>
        <v/>
      </c>
      <c r="H545" t="str">
        <f t="shared" si="17"/>
        <v/>
      </c>
    </row>
    <row r="546" spans="2:8">
      <c r="B546" s="3"/>
      <c r="G546" t="str">
        <f t="shared" si="16"/>
        <v/>
      </c>
      <c r="H546" t="str">
        <f t="shared" si="17"/>
        <v/>
      </c>
    </row>
    <row r="547" spans="2:8">
      <c r="B547" s="3"/>
      <c r="G547" t="str">
        <f t="shared" si="16"/>
        <v/>
      </c>
      <c r="H547" t="str">
        <f t="shared" si="17"/>
        <v/>
      </c>
    </row>
    <row r="548" spans="2:8">
      <c r="B548" s="3"/>
      <c r="G548" t="str">
        <f t="shared" si="16"/>
        <v/>
      </c>
      <c r="H548" t="str">
        <f t="shared" si="17"/>
        <v/>
      </c>
    </row>
    <row r="549" spans="2:8">
      <c r="B549" s="3"/>
      <c r="G549" t="str">
        <f t="shared" si="16"/>
        <v/>
      </c>
      <c r="H549" t="str">
        <f t="shared" si="17"/>
        <v/>
      </c>
    </row>
    <row r="550" spans="2:8">
      <c r="B550" s="3"/>
      <c r="G550" t="str">
        <f t="shared" si="16"/>
        <v/>
      </c>
      <c r="H550" t="str">
        <f t="shared" si="17"/>
        <v/>
      </c>
    </row>
    <row r="551" spans="2:8">
      <c r="B551" s="3"/>
      <c r="G551" t="str">
        <f t="shared" si="16"/>
        <v/>
      </c>
      <c r="H551" t="str">
        <f t="shared" si="17"/>
        <v/>
      </c>
    </row>
    <row r="552" spans="2:8">
      <c r="B552" s="3"/>
      <c r="G552" t="str">
        <f t="shared" si="16"/>
        <v/>
      </c>
      <c r="H552" t="str">
        <f t="shared" si="17"/>
        <v/>
      </c>
    </row>
    <row r="553" spans="2:8">
      <c r="B553" s="3"/>
      <c r="G553" t="str">
        <f t="shared" si="16"/>
        <v/>
      </c>
      <c r="H553" t="str">
        <f t="shared" si="17"/>
        <v/>
      </c>
    </row>
    <row r="554" spans="2:8">
      <c r="B554" s="3"/>
      <c r="G554" t="str">
        <f t="shared" si="16"/>
        <v/>
      </c>
      <c r="H554" t="str">
        <f t="shared" si="17"/>
        <v/>
      </c>
    </row>
    <row r="555" spans="2:8">
      <c r="B555" s="3"/>
      <c r="G555" t="str">
        <f t="shared" si="16"/>
        <v/>
      </c>
      <c r="H555" t="str">
        <f t="shared" si="17"/>
        <v/>
      </c>
    </row>
    <row r="556" spans="2:8">
      <c r="B556" s="3"/>
      <c r="G556" t="str">
        <f t="shared" si="16"/>
        <v/>
      </c>
      <c r="H556" t="str">
        <f t="shared" si="17"/>
        <v/>
      </c>
    </row>
    <row r="557" spans="2:8">
      <c r="B557" s="3"/>
      <c r="G557" t="str">
        <f t="shared" si="16"/>
        <v/>
      </c>
      <c r="H557" t="str">
        <f t="shared" si="17"/>
        <v/>
      </c>
    </row>
    <row r="558" spans="2:8">
      <c r="B558" s="3"/>
      <c r="G558" t="str">
        <f t="shared" si="16"/>
        <v/>
      </c>
      <c r="H558" t="str">
        <f t="shared" si="17"/>
        <v/>
      </c>
    </row>
    <row r="559" spans="2:8">
      <c r="B559" s="3"/>
      <c r="G559" t="str">
        <f t="shared" si="16"/>
        <v/>
      </c>
      <c r="H559" t="str">
        <f t="shared" si="17"/>
        <v/>
      </c>
    </row>
    <row r="560" spans="2:8">
      <c r="B560" s="3"/>
      <c r="G560" t="str">
        <f t="shared" si="16"/>
        <v/>
      </c>
      <c r="H560" t="str">
        <f t="shared" si="17"/>
        <v/>
      </c>
    </row>
    <row r="561" spans="2:8">
      <c r="B561" s="3"/>
      <c r="G561" t="str">
        <f t="shared" si="16"/>
        <v/>
      </c>
      <c r="H561" t="str">
        <f t="shared" si="17"/>
        <v/>
      </c>
    </row>
    <row r="562" spans="2:8">
      <c r="B562" s="3"/>
      <c r="G562" t="str">
        <f t="shared" si="16"/>
        <v/>
      </c>
      <c r="H562" t="str">
        <f t="shared" si="17"/>
        <v/>
      </c>
    </row>
    <row r="563" spans="2:8">
      <c r="B563" s="3"/>
      <c r="G563" t="str">
        <f t="shared" si="16"/>
        <v/>
      </c>
      <c r="H563" t="str">
        <f t="shared" si="17"/>
        <v/>
      </c>
    </row>
    <row r="564" spans="2:8">
      <c r="B564" s="3"/>
      <c r="G564" t="str">
        <f t="shared" si="16"/>
        <v/>
      </c>
      <c r="H564" t="str">
        <f t="shared" si="17"/>
        <v/>
      </c>
    </row>
    <row r="565" spans="2:8">
      <c r="B565" s="3"/>
      <c r="G565" t="str">
        <f t="shared" si="16"/>
        <v/>
      </c>
      <c r="H565" t="str">
        <f t="shared" si="17"/>
        <v/>
      </c>
    </row>
    <row r="566" spans="2:8">
      <c r="B566" s="3"/>
      <c r="G566" t="str">
        <f t="shared" si="16"/>
        <v/>
      </c>
      <c r="H566" t="str">
        <f t="shared" si="17"/>
        <v/>
      </c>
    </row>
    <row r="567" spans="2:8">
      <c r="B567" s="3"/>
      <c r="G567" t="str">
        <f t="shared" si="16"/>
        <v/>
      </c>
      <c r="H567" t="str">
        <f t="shared" si="17"/>
        <v/>
      </c>
    </row>
    <row r="568" spans="2:8">
      <c r="B568" s="3"/>
      <c r="G568" t="str">
        <f t="shared" si="16"/>
        <v/>
      </c>
      <c r="H568" t="str">
        <f t="shared" si="17"/>
        <v/>
      </c>
    </row>
    <row r="569" spans="2:8">
      <c r="B569" s="3"/>
      <c r="G569" t="str">
        <f t="shared" si="16"/>
        <v/>
      </c>
      <c r="H569" t="str">
        <f t="shared" si="17"/>
        <v/>
      </c>
    </row>
    <row r="570" spans="2:8">
      <c r="B570" s="3"/>
      <c r="G570" t="str">
        <f t="shared" si="16"/>
        <v/>
      </c>
      <c r="H570" t="str">
        <f t="shared" si="17"/>
        <v/>
      </c>
    </row>
    <row r="571" spans="2:8">
      <c r="B571" s="3"/>
      <c r="G571" t="str">
        <f t="shared" si="16"/>
        <v/>
      </c>
      <c r="H571" t="str">
        <f t="shared" si="17"/>
        <v/>
      </c>
    </row>
    <row r="572" spans="2:8">
      <c r="B572" s="3"/>
      <c r="G572" t="str">
        <f t="shared" si="16"/>
        <v/>
      </c>
      <c r="H572" t="str">
        <f t="shared" si="17"/>
        <v/>
      </c>
    </row>
    <row r="573" spans="2:8">
      <c r="B573" s="3"/>
      <c r="G573" t="str">
        <f t="shared" si="16"/>
        <v/>
      </c>
      <c r="H573" t="str">
        <f t="shared" si="17"/>
        <v/>
      </c>
    </row>
    <row r="574" spans="2:8">
      <c r="B574" s="3"/>
      <c r="G574" t="str">
        <f t="shared" si="16"/>
        <v/>
      </c>
      <c r="H574" t="str">
        <f t="shared" si="17"/>
        <v/>
      </c>
    </row>
    <row r="575" spans="2:8">
      <c r="B575" s="3"/>
      <c r="G575" t="str">
        <f t="shared" si="16"/>
        <v/>
      </c>
      <c r="H575" t="str">
        <f t="shared" si="17"/>
        <v/>
      </c>
    </row>
    <row r="576" spans="2:8">
      <c r="B576" s="3"/>
      <c r="G576" t="str">
        <f t="shared" si="16"/>
        <v/>
      </c>
      <c r="H576" t="str">
        <f t="shared" si="17"/>
        <v/>
      </c>
    </row>
    <row r="577" spans="2:8">
      <c r="B577" s="3"/>
      <c r="G577" t="str">
        <f t="shared" si="16"/>
        <v/>
      </c>
      <c r="H577" t="str">
        <f t="shared" si="17"/>
        <v/>
      </c>
    </row>
    <row r="578" spans="2:8">
      <c r="B578" s="3"/>
      <c r="G578" t="str">
        <f t="shared" si="16"/>
        <v/>
      </c>
      <c r="H578" t="str">
        <f t="shared" si="17"/>
        <v/>
      </c>
    </row>
    <row r="579" spans="2:8">
      <c r="B579" s="3"/>
      <c r="G579" t="str">
        <f t="shared" ref="G579:G642" si="18">IF(OR(E579="",F579=""),"",E579*F579)</f>
        <v/>
      </c>
      <c r="H579" t="str">
        <f t="shared" ref="H579:H642" si="19">IF(OR(C579="",D579=""),"",C579&amp;"|"&amp;D579)</f>
        <v/>
      </c>
    </row>
    <row r="580" spans="2:8">
      <c r="B580" s="3"/>
      <c r="G580" t="str">
        <f t="shared" si="18"/>
        <v/>
      </c>
      <c r="H580" t="str">
        <f t="shared" si="19"/>
        <v/>
      </c>
    </row>
    <row r="581" spans="2:8">
      <c r="B581" s="3"/>
      <c r="G581" t="str">
        <f t="shared" si="18"/>
        <v/>
      </c>
      <c r="H581" t="str">
        <f t="shared" si="19"/>
        <v/>
      </c>
    </row>
    <row r="582" spans="2:8">
      <c r="B582" s="3"/>
      <c r="G582" t="str">
        <f t="shared" si="18"/>
        <v/>
      </c>
      <c r="H582" t="str">
        <f t="shared" si="19"/>
        <v/>
      </c>
    </row>
    <row r="583" spans="2:8">
      <c r="B583" s="3"/>
      <c r="G583" t="str">
        <f t="shared" si="18"/>
        <v/>
      </c>
      <c r="H583" t="str">
        <f t="shared" si="19"/>
        <v/>
      </c>
    </row>
    <row r="584" spans="2:8">
      <c r="B584" s="3"/>
      <c r="G584" t="str">
        <f t="shared" si="18"/>
        <v/>
      </c>
      <c r="H584" t="str">
        <f t="shared" si="19"/>
        <v/>
      </c>
    </row>
    <row r="585" spans="2:8">
      <c r="B585" s="3"/>
      <c r="G585" t="str">
        <f t="shared" si="18"/>
        <v/>
      </c>
      <c r="H585" t="str">
        <f t="shared" si="19"/>
        <v/>
      </c>
    </row>
    <row r="586" spans="2:8">
      <c r="B586" s="3"/>
      <c r="G586" t="str">
        <f t="shared" si="18"/>
        <v/>
      </c>
      <c r="H586" t="str">
        <f t="shared" si="19"/>
        <v/>
      </c>
    </row>
    <row r="587" spans="2:8">
      <c r="B587" s="3"/>
      <c r="G587" t="str">
        <f t="shared" si="18"/>
        <v/>
      </c>
      <c r="H587" t="str">
        <f t="shared" si="19"/>
        <v/>
      </c>
    </row>
    <row r="588" spans="2:8">
      <c r="B588" s="3"/>
      <c r="G588" t="str">
        <f t="shared" si="18"/>
        <v/>
      </c>
      <c r="H588" t="str">
        <f t="shared" si="19"/>
        <v/>
      </c>
    </row>
    <row r="589" spans="2:8">
      <c r="B589" s="3"/>
      <c r="G589" t="str">
        <f t="shared" si="18"/>
        <v/>
      </c>
      <c r="H589" t="str">
        <f t="shared" si="19"/>
        <v/>
      </c>
    </row>
    <row r="590" spans="2:8">
      <c r="B590" s="3"/>
      <c r="G590" t="str">
        <f t="shared" si="18"/>
        <v/>
      </c>
      <c r="H590" t="str">
        <f t="shared" si="19"/>
        <v/>
      </c>
    </row>
    <row r="591" spans="2:8">
      <c r="B591" s="3"/>
      <c r="G591" t="str">
        <f t="shared" si="18"/>
        <v/>
      </c>
      <c r="H591" t="str">
        <f t="shared" si="19"/>
        <v/>
      </c>
    </row>
    <row r="592" spans="2:8">
      <c r="B592" s="3"/>
      <c r="G592" t="str">
        <f t="shared" si="18"/>
        <v/>
      </c>
      <c r="H592" t="str">
        <f t="shared" si="19"/>
        <v/>
      </c>
    </row>
    <row r="593" spans="2:8">
      <c r="B593" s="3"/>
      <c r="G593" t="str">
        <f t="shared" si="18"/>
        <v/>
      </c>
      <c r="H593" t="str">
        <f t="shared" si="19"/>
        <v/>
      </c>
    </row>
    <row r="594" spans="2:8">
      <c r="B594" s="3"/>
      <c r="G594" t="str">
        <f t="shared" si="18"/>
        <v/>
      </c>
      <c r="H594" t="str">
        <f t="shared" si="19"/>
        <v/>
      </c>
    </row>
    <row r="595" spans="2:8">
      <c r="B595" s="3"/>
      <c r="G595" t="str">
        <f t="shared" si="18"/>
        <v/>
      </c>
      <c r="H595" t="str">
        <f t="shared" si="19"/>
        <v/>
      </c>
    </row>
    <row r="596" spans="2:8">
      <c r="B596" s="3"/>
      <c r="G596" t="str">
        <f t="shared" si="18"/>
        <v/>
      </c>
      <c r="H596" t="str">
        <f t="shared" si="19"/>
        <v/>
      </c>
    </row>
    <row r="597" spans="2:8">
      <c r="B597" s="3"/>
      <c r="G597" t="str">
        <f t="shared" si="18"/>
        <v/>
      </c>
      <c r="H597" t="str">
        <f t="shared" si="19"/>
        <v/>
      </c>
    </row>
    <row r="598" spans="2:8">
      <c r="B598" s="3"/>
      <c r="G598" t="str">
        <f t="shared" si="18"/>
        <v/>
      </c>
      <c r="H598" t="str">
        <f t="shared" si="19"/>
        <v/>
      </c>
    </row>
    <row r="599" spans="2:8">
      <c r="B599" s="3"/>
      <c r="G599" t="str">
        <f t="shared" si="18"/>
        <v/>
      </c>
      <c r="H599" t="str">
        <f t="shared" si="19"/>
        <v/>
      </c>
    </row>
    <row r="600" spans="2:8">
      <c r="B600" s="3"/>
      <c r="G600" t="str">
        <f t="shared" si="18"/>
        <v/>
      </c>
      <c r="H600" t="str">
        <f t="shared" si="19"/>
        <v/>
      </c>
    </row>
    <row r="601" spans="2:8">
      <c r="B601" s="3"/>
      <c r="G601" t="str">
        <f t="shared" si="18"/>
        <v/>
      </c>
      <c r="H601" t="str">
        <f t="shared" si="19"/>
        <v/>
      </c>
    </row>
    <row r="602" spans="2:8">
      <c r="B602" s="3"/>
      <c r="G602" t="str">
        <f t="shared" si="18"/>
        <v/>
      </c>
      <c r="H602" t="str">
        <f t="shared" si="19"/>
        <v/>
      </c>
    </row>
    <row r="603" spans="2:8">
      <c r="B603" s="3"/>
      <c r="G603" t="str">
        <f t="shared" si="18"/>
        <v/>
      </c>
      <c r="H603" t="str">
        <f t="shared" si="19"/>
        <v/>
      </c>
    </row>
    <row r="604" spans="2:8">
      <c r="B604" s="3"/>
      <c r="G604" t="str">
        <f t="shared" si="18"/>
        <v/>
      </c>
      <c r="H604" t="str">
        <f t="shared" si="19"/>
        <v/>
      </c>
    </row>
    <row r="605" spans="2:8">
      <c r="B605" s="3"/>
      <c r="G605" t="str">
        <f t="shared" si="18"/>
        <v/>
      </c>
      <c r="H605" t="str">
        <f t="shared" si="19"/>
        <v/>
      </c>
    </row>
    <row r="606" spans="2:8">
      <c r="B606" s="3"/>
      <c r="G606" t="str">
        <f t="shared" si="18"/>
        <v/>
      </c>
      <c r="H606" t="str">
        <f t="shared" si="19"/>
        <v/>
      </c>
    </row>
    <row r="607" spans="2:8">
      <c r="B607" s="3"/>
      <c r="G607" t="str">
        <f t="shared" si="18"/>
        <v/>
      </c>
      <c r="H607" t="str">
        <f t="shared" si="19"/>
        <v/>
      </c>
    </row>
    <row r="608" spans="2:8">
      <c r="B608" s="3"/>
      <c r="G608" t="str">
        <f t="shared" si="18"/>
        <v/>
      </c>
      <c r="H608" t="str">
        <f t="shared" si="19"/>
        <v/>
      </c>
    </row>
    <row r="609" spans="2:8">
      <c r="B609" s="3"/>
      <c r="G609" t="str">
        <f t="shared" si="18"/>
        <v/>
      </c>
      <c r="H609" t="str">
        <f t="shared" si="19"/>
        <v/>
      </c>
    </row>
    <row r="610" spans="2:8">
      <c r="B610" s="3"/>
      <c r="G610" t="str">
        <f t="shared" si="18"/>
        <v/>
      </c>
      <c r="H610" t="str">
        <f t="shared" si="19"/>
        <v/>
      </c>
    </row>
    <row r="611" spans="2:8">
      <c r="B611" s="3"/>
      <c r="G611" t="str">
        <f t="shared" si="18"/>
        <v/>
      </c>
      <c r="H611" t="str">
        <f t="shared" si="19"/>
        <v/>
      </c>
    </row>
    <row r="612" spans="2:8">
      <c r="B612" s="3"/>
      <c r="G612" t="str">
        <f t="shared" si="18"/>
        <v/>
      </c>
      <c r="H612" t="str">
        <f t="shared" si="19"/>
        <v/>
      </c>
    </row>
    <row r="613" spans="2:8">
      <c r="B613" s="3"/>
      <c r="G613" t="str">
        <f t="shared" si="18"/>
        <v/>
      </c>
      <c r="H613" t="str">
        <f t="shared" si="19"/>
        <v/>
      </c>
    </row>
    <row r="614" spans="2:8">
      <c r="B614" s="3"/>
      <c r="G614" t="str">
        <f t="shared" si="18"/>
        <v/>
      </c>
      <c r="H614" t="str">
        <f t="shared" si="19"/>
        <v/>
      </c>
    </row>
    <row r="615" spans="2:8">
      <c r="B615" s="3"/>
      <c r="G615" t="str">
        <f t="shared" si="18"/>
        <v/>
      </c>
      <c r="H615" t="str">
        <f t="shared" si="19"/>
        <v/>
      </c>
    </row>
    <row r="616" spans="2:8">
      <c r="B616" s="3"/>
      <c r="G616" t="str">
        <f t="shared" si="18"/>
        <v/>
      </c>
      <c r="H616" t="str">
        <f t="shared" si="19"/>
        <v/>
      </c>
    </row>
    <row r="617" spans="2:8">
      <c r="B617" s="3"/>
      <c r="G617" t="str">
        <f t="shared" si="18"/>
        <v/>
      </c>
      <c r="H617" t="str">
        <f t="shared" si="19"/>
        <v/>
      </c>
    </row>
    <row r="618" spans="2:8">
      <c r="B618" s="3"/>
      <c r="G618" t="str">
        <f t="shared" si="18"/>
        <v/>
      </c>
      <c r="H618" t="str">
        <f t="shared" si="19"/>
        <v/>
      </c>
    </row>
    <row r="619" spans="2:8">
      <c r="B619" s="3"/>
      <c r="G619" t="str">
        <f t="shared" si="18"/>
        <v/>
      </c>
      <c r="H619" t="str">
        <f t="shared" si="19"/>
        <v/>
      </c>
    </row>
    <row r="620" spans="2:8">
      <c r="B620" s="3"/>
      <c r="G620" t="str">
        <f t="shared" si="18"/>
        <v/>
      </c>
      <c r="H620" t="str">
        <f t="shared" si="19"/>
        <v/>
      </c>
    </row>
    <row r="621" spans="2:8">
      <c r="B621" s="3"/>
      <c r="G621" t="str">
        <f t="shared" si="18"/>
        <v/>
      </c>
      <c r="H621" t="str">
        <f t="shared" si="19"/>
        <v/>
      </c>
    </row>
    <row r="622" spans="2:8">
      <c r="B622" s="3"/>
      <c r="G622" t="str">
        <f t="shared" si="18"/>
        <v/>
      </c>
      <c r="H622" t="str">
        <f t="shared" si="19"/>
        <v/>
      </c>
    </row>
    <row r="623" spans="2:8">
      <c r="B623" s="3"/>
      <c r="G623" t="str">
        <f t="shared" si="18"/>
        <v/>
      </c>
      <c r="H623" t="str">
        <f t="shared" si="19"/>
        <v/>
      </c>
    </row>
    <row r="624" spans="2:8">
      <c r="B624" s="3"/>
      <c r="G624" t="str">
        <f t="shared" si="18"/>
        <v/>
      </c>
      <c r="H624" t="str">
        <f t="shared" si="19"/>
        <v/>
      </c>
    </row>
    <row r="625" spans="2:8">
      <c r="B625" s="3"/>
      <c r="G625" t="str">
        <f t="shared" si="18"/>
        <v/>
      </c>
      <c r="H625" t="str">
        <f t="shared" si="19"/>
        <v/>
      </c>
    </row>
    <row r="626" spans="2:8">
      <c r="B626" s="3"/>
      <c r="G626" t="str">
        <f t="shared" si="18"/>
        <v/>
      </c>
      <c r="H626" t="str">
        <f t="shared" si="19"/>
        <v/>
      </c>
    </row>
    <row r="627" spans="2:8">
      <c r="B627" s="3"/>
      <c r="G627" t="str">
        <f t="shared" si="18"/>
        <v/>
      </c>
      <c r="H627" t="str">
        <f t="shared" si="19"/>
        <v/>
      </c>
    </row>
    <row r="628" spans="2:8">
      <c r="B628" s="3"/>
      <c r="G628" t="str">
        <f t="shared" si="18"/>
        <v/>
      </c>
      <c r="H628" t="str">
        <f t="shared" si="19"/>
        <v/>
      </c>
    </row>
    <row r="629" spans="2:8">
      <c r="B629" s="3"/>
      <c r="G629" t="str">
        <f t="shared" si="18"/>
        <v/>
      </c>
      <c r="H629" t="str">
        <f t="shared" si="19"/>
        <v/>
      </c>
    </row>
    <row r="630" spans="2:8">
      <c r="B630" s="3"/>
      <c r="G630" t="str">
        <f t="shared" si="18"/>
        <v/>
      </c>
      <c r="H630" t="str">
        <f t="shared" si="19"/>
        <v/>
      </c>
    </row>
    <row r="631" spans="2:8">
      <c r="B631" s="3"/>
      <c r="G631" t="str">
        <f t="shared" si="18"/>
        <v/>
      </c>
      <c r="H631" t="str">
        <f t="shared" si="19"/>
        <v/>
      </c>
    </row>
    <row r="632" spans="2:8">
      <c r="B632" s="3"/>
      <c r="G632" t="str">
        <f t="shared" si="18"/>
        <v/>
      </c>
      <c r="H632" t="str">
        <f t="shared" si="19"/>
        <v/>
      </c>
    </row>
    <row r="633" spans="2:8">
      <c r="B633" s="3"/>
      <c r="G633" t="str">
        <f t="shared" si="18"/>
        <v/>
      </c>
      <c r="H633" t="str">
        <f t="shared" si="19"/>
        <v/>
      </c>
    </row>
    <row r="634" spans="2:8">
      <c r="B634" s="3"/>
      <c r="G634" t="str">
        <f t="shared" si="18"/>
        <v/>
      </c>
      <c r="H634" t="str">
        <f t="shared" si="19"/>
        <v/>
      </c>
    </row>
    <row r="635" spans="2:8">
      <c r="B635" s="3"/>
      <c r="G635" t="str">
        <f t="shared" si="18"/>
        <v/>
      </c>
      <c r="H635" t="str">
        <f t="shared" si="19"/>
        <v/>
      </c>
    </row>
    <row r="636" spans="2:8">
      <c r="B636" s="3"/>
      <c r="G636" t="str">
        <f t="shared" si="18"/>
        <v/>
      </c>
      <c r="H636" t="str">
        <f t="shared" si="19"/>
        <v/>
      </c>
    </row>
    <row r="637" spans="2:8">
      <c r="B637" s="3"/>
      <c r="G637" t="str">
        <f t="shared" si="18"/>
        <v/>
      </c>
      <c r="H637" t="str">
        <f t="shared" si="19"/>
        <v/>
      </c>
    </row>
    <row r="638" spans="2:8">
      <c r="B638" s="3"/>
      <c r="G638" t="str">
        <f t="shared" si="18"/>
        <v/>
      </c>
      <c r="H638" t="str">
        <f t="shared" si="19"/>
        <v/>
      </c>
    </row>
    <row r="639" spans="2:8">
      <c r="B639" s="3"/>
      <c r="G639" t="str">
        <f t="shared" si="18"/>
        <v/>
      </c>
      <c r="H639" t="str">
        <f t="shared" si="19"/>
        <v/>
      </c>
    </row>
    <row r="640" spans="2:8">
      <c r="B640" s="3"/>
      <c r="G640" t="str">
        <f t="shared" si="18"/>
        <v/>
      </c>
      <c r="H640" t="str">
        <f t="shared" si="19"/>
        <v/>
      </c>
    </row>
    <row r="641" spans="2:8">
      <c r="B641" s="3"/>
      <c r="G641" t="str">
        <f t="shared" si="18"/>
        <v/>
      </c>
      <c r="H641" t="str">
        <f t="shared" si="19"/>
        <v/>
      </c>
    </row>
    <row r="642" spans="2:8">
      <c r="B642" s="3"/>
      <c r="G642" t="str">
        <f t="shared" si="18"/>
        <v/>
      </c>
      <c r="H642" t="str">
        <f t="shared" si="19"/>
        <v/>
      </c>
    </row>
    <row r="643" spans="2:8">
      <c r="B643" s="3"/>
      <c r="G643" t="str">
        <f t="shared" ref="G643:G706" si="20">IF(OR(E643="",F643=""),"",E643*F643)</f>
        <v/>
      </c>
      <c r="H643" t="str">
        <f t="shared" ref="H643:H706" si="21">IF(OR(C643="",D643=""),"",C643&amp;"|"&amp;D643)</f>
        <v/>
      </c>
    </row>
    <row r="644" spans="2:8">
      <c r="B644" s="3"/>
      <c r="G644" t="str">
        <f t="shared" si="20"/>
        <v/>
      </c>
      <c r="H644" t="str">
        <f t="shared" si="21"/>
        <v/>
      </c>
    </row>
    <row r="645" spans="2:8">
      <c r="B645" s="3"/>
      <c r="G645" t="str">
        <f t="shared" si="20"/>
        <v/>
      </c>
      <c r="H645" t="str">
        <f t="shared" si="21"/>
        <v/>
      </c>
    </row>
    <row r="646" spans="2:8">
      <c r="B646" s="3"/>
      <c r="G646" t="str">
        <f t="shared" si="20"/>
        <v/>
      </c>
      <c r="H646" t="str">
        <f t="shared" si="21"/>
        <v/>
      </c>
    </row>
    <row r="647" spans="2:8">
      <c r="B647" s="3"/>
      <c r="G647" t="str">
        <f t="shared" si="20"/>
        <v/>
      </c>
      <c r="H647" t="str">
        <f t="shared" si="21"/>
        <v/>
      </c>
    </row>
    <row r="648" spans="2:8">
      <c r="B648" s="3"/>
      <c r="G648" t="str">
        <f t="shared" si="20"/>
        <v/>
      </c>
      <c r="H648" t="str">
        <f t="shared" si="21"/>
        <v/>
      </c>
    </row>
    <row r="649" spans="2:8">
      <c r="B649" s="3"/>
      <c r="G649" t="str">
        <f t="shared" si="20"/>
        <v/>
      </c>
      <c r="H649" t="str">
        <f t="shared" si="21"/>
        <v/>
      </c>
    </row>
    <row r="650" spans="2:8">
      <c r="B650" s="3"/>
      <c r="G650" t="str">
        <f t="shared" si="20"/>
        <v/>
      </c>
      <c r="H650" t="str">
        <f t="shared" si="21"/>
        <v/>
      </c>
    </row>
    <row r="651" spans="2:8">
      <c r="B651" s="3"/>
      <c r="G651" t="str">
        <f t="shared" si="20"/>
        <v/>
      </c>
      <c r="H651" t="str">
        <f t="shared" si="21"/>
        <v/>
      </c>
    </row>
    <row r="652" spans="2:8">
      <c r="B652" s="3"/>
      <c r="G652" t="str">
        <f t="shared" si="20"/>
        <v/>
      </c>
      <c r="H652" t="str">
        <f t="shared" si="21"/>
        <v/>
      </c>
    </row>
    <row r="653" spans="2:8">
      <c r="B653" s="3"/>
      <c r="G653" t="str">
        <f t="shared" si="20"/>
        <v/>
      </c>
      <c r="H653" t="str">
        <f t="shared" si="21"/>
        <v/>
      </c>
    </row>
    <row r="654" spans="2:8">
      <c r="B654" s="3"/>
      <c r="G654" t="str">
        <f t="shared" si="20"/>
        <v/>
      </c>
      <c r="H654" t="str">
        <f t="shared" si="21"/>
        <v/>
      </c>
    </row>
    <row r="655" spans="2:8">
      <c r="B655" s="3"/>
      <c r="G655" t="str">
        <f t="shared" si="20"/>
        <v/>
      </c>
      <c r="H655" t="str">
        <f t="shared" si="21"/>
        <v/>
      </c>
    </row>
    <row r="656" spans="2:8">
      <c r="B656" s="3"/>
      <c r="G656" t="str">
        <f t="shared" si="20"/>
        <v/>
      </c>
      <c r="H656" t="str">
        <f t="shared" si="21"/>
        <v/>
      </c>
    </row>
    <row r="657" spans="2:8">
      <c r="B657" s="3"/>
      <c r="G657" t="str">
        <f t="shared" si="20"/>
        <v/>
      </c>
      <c r="H657" t="str">
        <f t="shared" si="21"/>
        <v/>
      </c>
    </row>
    <row r="658" spans="2:8">
      <c r="B658" s="3"/>
      <c r="G658" t="str">
        <f t="shared" si="20"/>
        <v/>
      </c>
      <c r="H658" t="str">
        <f t="shared" si="21"/>
        <v/>
      </c>
    </row>
    <row r="659" spans="2:8">
      <c r="B659" s="3"/>
      <c r="G659" t="str">
        <f t="shared" si="20"/>
        <v/>
      </c>
      <c r="H659" t="str">
        <f t="shared" si="21"/>
        <v/>
      </c>
    </row>
    <row r="660" spans="2:8">
      <c r="B660" s="3"/>
      <c r="G660" t="str">
        <f t="shared" si="20"/>
        <v/>
      </c>
      <c r="H660" t="str">
        <f t="shared" si="21"/>
        <v/>
      </c>
    </row>
    <row r="661" spans="2:8">
      <c r="B661" s="3"/>
      <c r="G661" t="str">
        <f t="shared" si="20"/>
        <v/>
      </c>
      <c r="H661" t="str">
        <f t="shared" si="21"/>
        <v/>
      </c>
    </row>
    <row r="662" spans="2:8">
      <c r="B662" s="3"/>
      <c r="G662" t="str">
        <f t="shared" si="20"/>
        <v/>
      </c>
      <c r="H662" t="str">
        <f t="shared" si="21"/>
        <v/>
      </c>
    </row>
    <row r="663" spans="2:8">
      <c r="B663" s="3"/>
      <c r="G663" t="str">
        <f t="shared" si="20"/>
        <v/>
      </c>
      <c r="H663" t="str">
        <f t="shared" si="21"/>
        <v/>
      </c>
    </row>
    <row r="664" spans="2:8">
      <c r="B664" s="3"/>
      <c r="G664" t="str">
        <f t="shared" si="20"/>
        <v/>
      </c>
      <c r="H664" t="str">
        <f t="shared" si="21"/>
        <v/>
      </c>
    </row>
    <row r="665" spans="2:8">
      <c r="B665" s="3"/>
      <c r="G665" t="str">
        <f t="shared" si="20"/>
        <v/>
      </c>
      <c r="H665" t="str">
        <f t="shared" si="21"/>
        <v/>
      </c>
    </row>
    <row r="666" spans="2:8">
      <c r="B666" s="3"/>
      <c r="G666" t="str">
        <f t="shared" si="20"/>
        <v/>
      </c>
      <c r="H666" t="str">
        <f t="shared" si="21"/>
        <v/>
      </c>
    </row>
    <row r="667" spans="2:8">
      <c r="B667" s="3"/>
      <c r="G667" t="str">
        <f t="shared" si="20"/>
        <v/>
      </c>
      <c r="H667" t="str">
        <f t="shared" si="21"/>
        <v/>
      </c>
    </row>
    <row r="668" spans="2:8">
      <c r="B668" s="3"/>
      <c r="G668" t="str">
        <f t="shared" si="20"/>
        <v/>
      </c>
      <c r="H668" t="str">
        <f t="shared" si="21"/>
        <v/>
      </c>
    </row>
    <row r="669" spans="2:8">
      <c r="B669" s="3"/>
      <c r="G669" t="str">
        <f t="shared" si="20"/>
        <v/>
      </c>
      <c r="H669" t="str">
        <f t="shared" si="21"/>
        <v/>
      </c>
    </row>
    <row r="670" spans="2:8">
      <c r="B670" s="3"/>
      <c r="G670" t="str">
        <f t="shared" si="20"/>
        <v/>
      </c>
      <c r="H670" t="str">
        <f t="shared" si="21"/>
        <v/>
      </c>
    </row>
    <row r="671" spans="2:8">
      <c r="B671" s="3"/>
      <c r="G671" t="str">
        <f t="shared" si="20"/>
        <v/>
      </c>
      <c r="H671" t="str">
        <f t="shared" si="21"/>
        <v/>
      </c>
    </row>
    <row r="672" spans="2:8">
      <c r="B672" s="3"/>
      <c r="G672" t="str">
        <f t="shared" si="20"/>
        <v/>
      </c>
      <c r="H672" t="str">
        <f t="shared" si="21"/>
        <v/>
      </c>
    </row>
    <row r="673" spans="2:8">
      <c r="B673" s="3"/>
      <c r="G673" t="str">
        <f t="shared" si="20"/>
        <v/>
      </c>
      <c r="H673" t="str">
        <f t="shared" si="21"/>
        <v/>
      </c>
    </row>
    <row r="674" spans="2:8">
      <c r="B674" s="3"/>
      <c r="G674" t="str">
        <f t="shared" si="20"/>
        <v/>
      </c>
      <c r="H674" t="str">
        <f t="shared" si="21"/>
        <v/>
      </c>
    </row>
    <row r="675" spans="2:8">
      <c r="B675" s="3"/>
      <c r="G675" t="str">
        <f t="shared" si="20"/>
        <v/>
      </c>
      <c r="H675" t="str">
        <f t="shared" si="21"/>
        <v/>
      </c>
    </row>
    <row r="676" spans="2:8">
      <c r="B676" s="3"/>
      <c r="G676" t="str">
        <f t="shared" si="20"/>
        <v/>
      </c>
      <c r="H676" t="str">
        <f t="shared" si="21"/>
        <v/>
      </c>
    </row>
    <row r="677" spans="2:8">
      <c r="B677" s="3"/>
      <c r="G677" t="str">
        <f t="shared" si="20"/>
        <v/>
      </c>
      <c r="H677" t="str">
        <f t="shared" si="21"/>
        <v/>
      </c>
    </row>
    <row r="678" spans="2:8">
      <c r="B678" s="3"/>
      <c r="G678" t="str">
        <f t="shared" si="20"/>
        <v/>
      </c>
      <c r="H678" t="str">
        <f t="shared" si="21"/>
        <v/>
      </c>
    </row>
    <row r="679" spans="2:8">
      <c r="B679" s="3"/>
      <c r="G679" t="str">
        <f t="shared" si="20"/>
        <v/>
      </c>
      <c r="H679" t="str">
        <f t="shared" si="21"/>
        <v/>
      </c>
    </row>
    <row r="680" spans="2:8">
      <c r="B680" s="3"/>
      <c r="G680" t="str">
        <f t="shared" si="20"/>
        <v/>
      </c>
      <c r="H680" t="str">
        <f t="shared" si="21"/>
        <v/>
      </c>
    </row>
    <row r="681" spans="2:8">
      <c r="B681" s="3"/>
      <c r="G681" t="str">
        <f t="shared" si="20"/>
        <v/>
      </c>
      <c r="H681" t="str">
        <f t="shared" si="21"/>
        <v/>
      </c>
    </row>
    <row r="682" spans="2:8">
      <c r="B682" s="3"/>
      <c r="G682" t="str">
        <f t="shared" si="20"/>
        <v/>
      </c>
      <c r="H682" t="str">
        <f t="shared" si="21"/>
        <v/>
      </c>
    </row>
    <row r="683" spans="2:8">
      <c r="B683" s="3"/>
      <c r="G683" t="str">
        <f t="shared" si="20"/>
        <v/>
      </c>
      <c r="H683" t="str">
        <f t="shared" si="21"/>
        <v/>
      </c>
    </row>
    <row r="684" spans="2:8">
      <c r="B684" s="3"/>
      <c r="G684" t="str">
        <f t="shared" si="20"/>
        <v/>
      </c>
      <c r="H684" t="str">
        <f t="shared" si="21"/>
        <v/>
      </c>
    </row>
    <row r="685" spans="2:8">
      <c r="B685" s="3"/>
      <c r="G685" t="str">
        <f t="shared" si="20"/>
        <v/>
      </c>
      <c r="H685" t="str">
        <f t="shared" si="21"/>
        <v/>
      </c>
    </row>
    <row r="686" spans="2:8">
      <c r="B686" s="3"/>
      <c r="G686" t="str">
        <f t="shared" si="20"/>
        <v/>
      </c>
      <c r="H686" t="str">
        <f t="shared" si="21"/>
        <v/>
      </c>
    </row>
    <row r="687" spans="2:8">
      <c r="B687" s="3"/>
      <c r="G687" t="str">
        <f t="shared" si="20"/>
        <v/>
      </c>
      <c r="H687" t="str">
        <f t="shared" si="21"/>
        <v/>
      </c>
    </row>
    <row r="688" spans="2:8">
      <c r="B688" s="3"/>
      <c r="G688" t="str">
        <f t="shared" si="20"/>
        <v/>
      </c>
      <c r="H688" t="str">
        <f t="shared" si="21"/>
        <v/>
      </c>
    </row>
    <row r="689" spans="2:8">
      <c r="B689" s="3"/>
      <c r="G689" t="str">
        <f t="shared" si="20"/>
        <v/>
      </c>
      <c r="H689" t="str">
        <f t="shared" si="21"/>
        <v/>
      </c>
    </row>
    <row r="690" spans="2:8">
      <c r="B690" s="3"/>
      <c r="G690" t="str">
        <f t="shared" si="20"/>
        <v/>
      </c>
      <c r="H690" t="str">
        <f t="shared" si="21"/>
        <v/>
      </c>
    </row>
    <row r="691" spans="2:8">
      <c r="B691" s="3"/>
      <c r="G691" t="str">
        <f t="shared" si="20"/>
        <v/>
      </c>
      <c r="H691" t="str">
        <f t="shared" si="21"/>
        <v/>
      </c>
    </row>
    <row r="692" spans="2:8">
      <c r="B692" s="3"/>
      <c r="G692" t="str">
        <f t="shared" si="20"/>
        <v/>
      </c>
      <c r="H692" t="str">
        <f t="shared" si="21"/>
        <v/>
      </c>
    </row>
    <row r="693" spans="2:8">
      <c r="B693" s="3"/>
      <c r="G693" t="str">
        <f t="shared" si="20"/>
        <v/>
      </c>
      <c r="H693" t="str">
        <f t="shared" si="21"/>
        <v/>
      </c>
    </row>
    <row r="694" spans="2:8">
      <c r="B694" s="3"/>
      <c r="G694" t="str">
        <f t="shared" si="20"/>
        <v/>
      </c>
      <c r="H694" t="str">
        <f t="shared" si="21"/>
        <v/>
      </c>
    </row>
    <row r="695" spans="2:8">
      <c r="B695" s="3"/>
      <c r="G695" t="str">
        <f t="shared" si="20"/>
        <v/>
      </c>
      <c r="H695" t="str">
        <f t="shared" si="21"/>
        <v/>
      </c>
    </row>
    <row r="696" spans="2:8">
      <c r="B696" s="3"/>
      <c r="G696" t="str">
        <f t="shared" si="20"/>
        <v/>
      </c>
      <c r="H696" t="str">
        <f t="shared" si="21"/>
        <v/>
      </c>
    </row>
    <row r="697" spans="2:8">
      <c r="B697" s="3"/>
      <c r="G697" t="str">
        <f t="shared" si="20"/>
        <v/>
      </c>
      <c r="H697" t="str">
        <f t="shared" si="21"/>
        <v/>
      </c>
    </row>
    <row r="698" spans="2:8">
      <c r="B698" s="3"/>
      <c r="G698" t="str">
        <f t="shared" si="20"/>
        <v/>
      </c>
      <c r="H698" t="str">
        <f t="shared" si="21"/>
        <v/>
      </c>
    </row>
    <row r="699" spans="2:8">
      <c r="B699" s="3"/>
      <c r="G699" t="str">
        <f t="shared" si="20"/>
        <v/>
      </c>
      <c r="H699" t="str">
        <f t="shared" si="21"/>
        <v/>
      </c>
    </row>
    <row r="700" spans="2:8">
      <c r="B700" s="3"/>
      <c r="G700" t="str">
        <f t="shared" si="20"/>
        <v/>
      </c>
      <c r="H700" t="str">
        <f t="shared" si="21"/>
        <v/>
      </c>
    </row>
    <row r="701" spans="2:8">
      <c r="B701" s="3"/>
      <c r="G701" t="str">
        <f t="shared" si="20"/>
        <v/>
      </c>
      <c r="H701" t="str">
        <f t="shared" si="21"/>
        <v/>
      </c>
    </row>
    <row r="702" spans="2:8">
      <c r="B702" s="3"/>
      <c r="G702" t="str">
        <f t="shared" si="20"/>
        <v/>
      </c>
      <c r="H702" t="str">
        <f t="shared" si="21"/>
        <v/>
      </c>
    </row>
    <row r="703" spans="2:8">
      <c r="B703" s="3"/>
      <c r="G703" t="str">
        <f t="shared" si="20"/>
        <v/>
      </c>
      <c r="H703" t="str">
        <f t="shared" si="21"/>
        <v/>
      </c>
    </row>
    <row r="704" spans="2:8">
      <c r="B704" s="3"/>
      <c r="G704" t="str">
        <f t="shared" si="20"/>
        <v/>
      </c>
      <c r="H704" t="str">
        <f t="shared" si="21"/>
        <v/>
      </c>
    </row>
    <row r="705" spans="2:8">
      <c r="B705" s="3"/>
      <c r="G705" t="str">
        <f t="shared" si="20"/>
        <v/>
      </c>
      <c r="H705" t="str">
        <f t="shared" si="21"/>
        <v/>
      </c>
    </row>
    <row r="706" spans="2:8">
      <c r="B706" s="3"/>
      <c r="G706" t="str">
        <f t="shared" si="20"/>
        <v/>
      </c>
      <c r="H706" t="str">
        <f t="shared" si="21"/>
        <v/>
      </c>
    </row>
    <row r="707" spans="2:8">
      <c r="B707" s="3"/>
      <c r="G707" t="str">
        <f t="shared" ref="G707:G770" si="22">IF(OR(E707="",F707=""),"",E707*F707)</f>
        <v/>
      </c>
      <c r="H707" t="str">
        <f t="shared" ref="H707:H770" si="23">IF(OR(C707="",D707=""),"",C707&amp;"|"&amp;D707)</f>
        <v/>
      </c>
    </row>
    <row r="708" spans="2:8">
      <c r="B708" s="3"/>
      <c r="G708" t="str">
        <f t="shared" si="22"/>
        <v/>
      </c>
      <c r="H708" t="str">
        <f t="shared" si="23"/>
        <v/>
      </c>
    </row>
    <row r="709" spans="2:8">
      <c r="B709" s="3"/>
      <c r="G709" t="str">
        <f t="shared" si="22"/>
        <v/>
      </c>
      <c r="H709" t="str">
        <f t="shared" si="23"/>
        <v/>
      </c>
    </row>
    <row r="710" spans="2:8">
      <c r="B710" s="3"/>
      <c r="G710" t="str">
        <f t="shared" si="22"/>
        <v/>
      </c>
      <c r="H710" t="str">
        <f t="shared" si="23"/>
        <v/>
      </c>
    </row>
    <row r="711" spans="2:8">
      <c r="B711" s="3"/>
      <c r="G711" t="str">
        <f t="shared" si="22"/>
        <v/>
      </c>
      <c r="H711" t="str">
        <f t="shared" si="23"/>
        <v/>
      </c>
    </row>
    <row r="712" spans="2:8">
      <c r="B712" s="3"/>
      <c r="G712" t="str">
        <f t="shared" si="22"/>
        <v/>
      </c>
      <c r="H712" t="str">
        <f t="shared" si="23"/>
        <v/>
      </c>
    </row>
    <row r="713" spans="2:8">
      <c r="B713" s="3"/>
      <c r="G713" t="str">
        <f t="shared" si="22"/>
        <v/>
      </c>
      <c r="H713" t="str">
        <f t="shared" si="23"/>
        <v/>
      </c>
    </row>
    <row r="714" spans="2:8">
      <c r="B714" s="3"/>
      <c r="G714" t="str">
        <f t="shared" si="22"/>
        <v/>
      </c>
      <c r="H714" t="str">
        <f t="shared" si="23"/>
        <v/>
      </c>
    </row>
    <row r="715" spans="2:8">
      <c r="B715" s="3"/>
      <c r="G715" t="str">
        <f t="shared" si="22"/>
        <v/>
      </c>
      <c r="H715" t="str">
        <f t="shared" si="23"/>
        <v/>
      </c>
    </row>
    <row r="716" spans="2:8">
      <c r="B716" s="3"/>
      <c r="G716" t="str">
        <f t="shared" si="22"/>
        <v/>
      </c>
      <c r="H716" t="str">
        <f t="shared" si="23"/>
        <v/>
      </c>
    </row>
    <row r="717" spans="2:8">
      <c r="B717" s="3"/>
      <c r="G717" t="str">
        <f t="shared" si="22"/>
        <v/>
      </c>
      <c r="H717" t="str">
        <f t="shared" si="23"/>
        <v/>
      </c>
    </row>
    <row r="718" spans="2:8">
      <c r="B718" s="3"/>
      <c r="G718" t="str">
        <f t="shared" si="22"/>
        <v/>
      </c>
      <c r="H718" t="str">
        <f t="shared" si="23"/>
        <v/>
      </c>
    </row>
    <row r="719" spans="2:8">
      <c r="B719" s="3"/>
      <c r="G719" t="str">
        <f t="shared" si="22"/>
        <v/>
      </c>
      <c r="H719" t="str">
        <f t="shared" si="23"/>
        <v/>
      </c>
    </row>
    <row r="720" spans="2:8">
      <c r="B720" s="3"/>
      <c r="G720" t="str">
        <f t="shared" si="22"/>
        <v/>
      </c>
      <c r="H720" t="str">
        <f t="shared" si="23"/>
        <v/>
      </c>
    </row>
    <row r="721" spans="2:8">
      <c r="B721" s="3"/>
      <c r="G721" t="str">
        <f t="shared" si="22"/>
        <v/>
      </c>
      <c r="H721" t="str">
        <f t="shared" si="23"/>
        <v/>
      </c>
    </row>
    <row r="722" spans="2:8">
      <c r="B722" s="3"/>
      <c r="G722" t="str">
        <f t="shared" si="22"/>
        <v/>
      </c>
      <c r="H722" t="str">
        <f t="shared" si="23"/>
        <v/>
      </c>
    </row>
    <row r="723" spans="2:8">
      <c r="B723" s="3"/>
      <c r="G723" t="str">
        <f t="shared" si="22"/>
        <v/>
      </c>
      <c r="H723" t="str">
        <f t="shared" si="23"/>
        <v/>
      </c>
    </row>
    <row r="724" spans="2:8">
      <c r="B724" s="3"/>
      <c r="G724" t="str">
        <f t="shared" si="22"/>
        <v/>
      </c>
      <c r="H724" t="str">
        <f t="shared" si="23"/>
        <v/>
      </c>
    </row>
    <row r="725" spans="2:8">
      <c r="B725" s="3"/>
      <c r="G725" t="str">
        <f t="shared" si="22"/>
        <v/>
      </c>
      <c r="H725" t="str">
        <f t="shared" si="23"/>
        <v/>
      </c>
    </row>
    <row r="726" spans="2:8">
      <c r="B726" s="3"/>
      <c r="G726" t="str">
        <f t="shared" si="22"/>
        <v/>
      </c>
      <c r="H726" t="str">
        <f t="shared" si="23"/>
        <v/>
      </c>
    </row>
    <row r="727" spans="2:8">
      <c r="B727" s="3"/>
      <c r="G727" t="str">
        <f t="shared" si="22"/>
        <v/>
      </c>
      <c r="H727" t="str">
        <f t="shared" si="23"/>
        <v/>
      </c>
    </row>
    <row r="728" spans="2:8">
      <c r="B728" s="3"/>
      <c r="G728" t="str">
        <f t="shared" si="22"/>
        <v/>
      </c>
      <c r="H728" t="str">
        <f t="shared" si="23"/>
        <v/>
      </c>
    </row>
    <row r="729" spans="2:8">
      <c r="B729" s="3"/>
      <c r="G729" t="str">
        <f t="shared" si="22"/>
        <v/>
      </c>
      <c r="H729" t="str">
        <f t="shared" si="23"/>
        <v/>
      </c>
    </row>
    <row r="730" spans="2:8">
      <c r="B730" s="3"/>
      <c r="G730" t="str">
        <f t="shared" si="22"/>
        <v/>
      </c>
      <c r="H730" t="str">
        <f t="shared" si="23"/>
        <v/>
      </c>
    </row>
    <row r="731" spans="2:8">
      <c r="B731" s="3"/>
      <c r="G731" t="str">
        <f t="shared" si="22"/>
        <v/>
      </c>
      <c r="H731" t="str">
        <f t="shared" si="23"/>
        <v/>
      </c>
    </row>
    <row r="732" spans="2:8">
      <c r="B732" s="3"/>
      <c r="G732" t="str">
        <f t="shared" si="22"/>
        <v/>
      </c>
      <c r="H732" t="str">
        <f t="shared" si="23"/>
        <v/>
      </c>
    </row>
    <row r="733" spans="2:8">
      <c r="B733" s="3"/>
      <c r="G733" t="str">
        <f t="shared" si="22"/>
        <v/>
      </c>
      <c r="H733" t="str">
        <f t="shared" si="23"/>
        <v/>
      </c>
    </row>
    <row r="734" spans="2:8">
      <c r="B734" s="3"/>
      <c r="G734" t="str">
        <f t="shared" si="22"/>
        <v/>
      </c>
      <c r="H734" t="str">
        <f t="shared" si="23"/>
        <v/>
      </c>
    </row>
    <row r="735" spans="2:8">
      <c r="B735" s="3"/>
      <c r="G735" t="str">
        <f t="shared" si="22"/>
        <v/>
      </c>
      <c r="H735" t="str">
        <f t="shared" si="23"/>
        <v/>
      </c>
    </row>
    <row r="736" spans="2:8">
      <c r="B736" s="3"/>
      <c r="G736" t="str">
        <f t="shared" si="22"/>
        <v/>
      </c>
      <c r="H736" t="str">
        <f t="shared" si="23"/>
        <v/>
      </c>
    </row>
    <row r="737" spans="2:8">
      <c r="B737" s="3"/>
      <c r="G737" t="str">
        <f t="shared" si="22"/>
        <v/>
      </c>
      <c r="H737" t="str">
        <f t="shared" si="23"/>
        <v/>
      </c>
    </row>
    <row r="738" spans="2:8">
      <c r="B738" s="3"/>
      <c r="G738" t="str">
        <f t="shared" si="22"/>
        <v/>
      </c>
      <c r="H738" t="str">
        <f t="shared" si="23"/>
        <v/>
      </c>
    </row>
    <row r="739" spans="2:8">
      <c r="B739" s="3"/>
      <c r="G739" t="str">
        <f t="shared" si="22"/>
        <v/>
      </c>
      <c r="H739" t="str">
        <f t="shared" si="23"/>
        <v/>
      </c>
    </row>
    <row r="740" spans="2:8">
      <c r="B740" s="3"/>
      <c r="G740" t="str">
        <f t="shared" si="22"/>
        <v/>
      </c>
      <c r="H740" t="str">
        <f t="shared" si="23"/>
        <v/>
      </c>
    </row>
    <row r="741" spans="2:8">
      <c r="B741" s="3"/>
      <c r="G741" t="str">
        <f t="shared" si="22"/>
        <v/>
      </c>
      <c r="H741" t="str">
        <f t="shared" si="23"/>
        <v/>
      </c>
    </row>
    <row r="742" spans="2:8">
      <c r="B742" s="3"/>
      <c r="G742" t="str">
        <f t="shared" si="22"/>
        <v/>
      </c>
      <c r="H742" t="str">
        <f t="shared" si="23"/>
        <v/>
      </c>
    </row>
    <row r="743" spans="2:8">
      <c r="B743" s="3"/>
      <c r="G743" t="str">
        <f t="shared" si="22"/>
        <v/>
      </c>
      <c r="H743" t="str">
        <f t="shared" si="23"/>
        <v/>
      </c>
    </row>
    <row r="744" spans="2:8">
      <c r="B744" s="3"/>
      <c r="G744" t="str">
        <f t="shared" si="22"/>
        <v/>
      </c>
      <c r="H744" t="str">
        <f t="shared" si="23"/>
        <v/>
      </c>
    </row>
    <row r="745" spans="2:8">
      <c r="B745" s="3"/>
      <c r="G745" t="str">
        <f t="shared" si="22"/>
        <v/>
      </c>
      <c r="H745" t="str">
        <f t="shared" si="23"/>
        <v/>
      </c>
    </row>
    <row r="746" spans="2:8">
      <c r="B746" s="3"/>
      <c r="G746" t="str">
        <f t="shared" si="22"/>
        <v/>
      </c>
      <c r="H746" t="str">
        <f t="shared" si="23"/>
        <v/>
      </c>
    </row>
    <row r="747" spans="2:8">
      <c r="B747" s="3"/>
      <c r="G747" t="str">
        <f t="shared" si="22"/>
        <v/>
      </c>
      <c r="H747" t="str">
        <f t="shared" si="23"/>
        <v/>
      </c>
    </row>
    <row r="748" spans="2:8">
      <c r="B748" s="3"/>
      <c r="G748" t="str">
        <f t="shared" si="22"/>
        <v/>
      </c>
      <c r="H748" t="str">
        <f t="shared" si="23"/>
        <v/>
      </c>
    </row>
    <row r="749" spans="2:8">
      <c r="B749" s="3"/>
      <c r="G749" t="str">
        <f t="shared" si="22"/>
        <v/>
      </c>
      <c r="H749" t="str">
        <f t="shared" si="23"/>
        <v/>
      </c>
    </row>
    <row r="750" spans="2:8">
      <c r="B750" s="3"/>
      <c r="G750" t="str">
        <f t="shared" si="22"/>
        <v/>
      </c>
      <c r="H750" t="str">
        <f t="shared" si="23"/>
        <v/>
      </c>
    </row>
    <row r="751" spans="2:8">
      <c r="B751" s="3"/>
      <c r="G751" t="str">
        <f t="shared" si="22"/>
        <v/>
      </c>
      <c r="H751" t="str">
        <f t="shared" si="23"/>
        <v/>
      </c>
    </row>
    <row r="752" spans="2:8">
      <c r="B752" s="3"/>
      <c r="G752" t="str">
        <f t="shared" si="22"/>
        <v/>
      </c>
      <c r="H752" t="str">
        <f t="shared" si="23"/>
        <v/>
      </c>
    </row>
    <row r="753" spans="2:8">
      <c r="B753" s="3"/>
      <c r="G753" t="str">
        <f t="shared" si="22"/>
        <v/>
      </c>
      <c r="H753" t="str">
        <f t="shared" si="23"/>
        <v/>
      </c>
    </row>
    <row r="754" spans="2:8">
      <c r="B754" s="3"/>
      <c r="G754" t="str">
        <f t="shared" si="22"/>
        <v/>
      </c>
      <c r="H754" t="str">
        <f t="shared" si="23"/>
        <v/>
      </c>
    </row>
    <row r="755" spans="2:8">
      <c r="B755" s="3"/>
      <c r="G755" t="str">
        <f t="shared" si="22"/>
        <v/>
      </c>
      <c r="H755" t="str">
        <f t="shared" si="23"/>
        <v/>
      </c>
    </row>
    <row r="756" spans="2:8">
      <c r="B756" s="3"/>
      <c r="G756" t="str">
        <f t="shared" si="22"/>
        <v/>
      </c>
      <c r="H756" t="str">
        <f t="shared" si="23"/>
        <v/>
      </c>
    </row>
    <row r="757" spans="2:8">
      <c r="B757" s="3"/>
      <c r="G757" t="str">
        <f t="shared" si="22"/>
        <v/>
      </c>
      <c r="H757" t="str">
        <f t="shared" si="23"/>
        <v/>
      </c>
    </row>
    <row r="758" spans="2:8">
      <c r="B758" s="3"/>
      <c r="G758" t="str">
        <f t="shared" si="22"/>
        <v/>
      </c>
      <c r="H758" t="str">
        <f t="shared" si="23"/>
        <v/>
      </c>
    </row>
    <row r="759" spans="2:8">
      <c r="B759" s="3"/>
      <c r="G759" t="str">
        <f t="shared" si="22"/>
        <v/>
      </c>
      <c r="H759" t="str">
        <f t="shared" si="23"/>
        <v/>
      </c>
    </row>
    <row r="760" spans="2:8">
      <c r="B760" s="3"/>
      <c r="G760" t="str">
        <f t="shared" si="22"/>
        <v/>
      </c>
      <c r="H760" t="str">
        <f t="shared" si="23"/>
        <v/>
      </c>
    </row>
    <row r="761" spans="2:8">
      <c r="B761" s="3"/>
      <c r="G761" t="str">
        <f t="shared" si="22"/>
        <v/>
      </c>
      <c r="H761" t="str">
        <f t="shared" si="23"/>
        <v/>
      </c>
    </row>
    <row r="762" spans="2:8">
      <c r="B762" s="3"/>
      <c r="G762" t="str">
        <f t="shared" si="22"/>
        <v/>
      </c>
      <c r="H762" t="str">
        <f t="shared" si="23"/>
        <v/>
      </c>
    </row>
    <row r="763" spans="2:8">
      <c r="B763" s="3"/>
      <c r="G763" t="str">
        <f t="shared" si="22"/>
        <v/>
      </c>
      <c r="H763" t="str">
        <f t="shared" si="23"/>
        <v/>
      </c>
    </row>
    <row r="764" spans="2:8">
      <c r="B764" s="3"/>
      <c r="G764" t="str">
        <f t="shared" si="22"/>
        <v/>
      </c>
      <c r="H764" t="str">
        <f t="shared" si="23"/>
        <v/>
      </c>
    </row>
    <row r="765" spans="2:8">
      <c r="B765" s="3"/>
      <c r="G765" t="str">
        <f t="shared" si="22"/>
        <v/>
      </c>
      <c r="H765" t="str">
        <f t="shared" si="23"/>
        <v/>
      </c>
    </row>
    <row r="766" spans="2:8">
      <c r="B766" s="3"/>
      <c r="G766" t="str">
        <f t="shared" si="22"/>
        <v/>
      </c>
      <c r="H766" t="str">
        <f t="shared" si="23"/>
        <v/>
      </c>
    </row>
    <row r="767" spans="2:8">
      <c r="B767" s="3"/>
      <c r="G767" t="str">
        <f t="shared" si="22"/>
        <v/>
      </c>
      <c r="H767" t="str">
        <f t="shared" si="23"/>
        <v/>
      </c>
    </row>
    <row r="768" spans="2:8">
      <c r="B768" s="3"/>
      <c r="G768" t="str">
        <f t="shared" si="22"/>
        <v/>
      </c>
      <c r="H768" t="str">
        <f t="shared" si="23"/>
        <v/>
      </c>
    </row>
    <row r="769" spans="2:8">
      <c r="B769" s="3"/>
      <c r="G769" t="str">
        <f t="shared" si="22"/>
        <v/>
      </c>
      <c r="H769" t="str">
        <f t="shared" si="23"/>
        <v/>
      </c>
    </row>
    <row r="770" spans="2:8">
      <c r="B770" s="3"/>
      <c r="G770" t="str">
        <f t="shared" si="22"/>
        <v/>
      </c>
      <c r="H770" t="str">
        <f t="shared" si="23"/>
        <v/>
      </c>
    </row>
    <row r="771" spans="2:8">
      <c r="B771" s="3"/>
      <c r="G771" t="str">
        <f t="shared" ref="G771:G834" si="24">IF(OR(E771="",F771=""),"",E771*F771)</f>
        <v/>
      </c>
      <c r="H771" t="str">
        <f t="shared" ref="H771:H834" si="25">IF(OR(C771="",D771=""),"",C771&amp;"|"&amp;D771)</f>
        <v/>
      </c>
    </row>
    <row r="772" spans="2:8">
      <c r="B772" s="3"/>
      <c r="G772" t="str">
        <f t="shared" si="24"/>
        <v/>
      </c>
      <c r="H772" t="str">
        <f t="shared" si="25"/>
        <v/>
      </c>
    </row>
    <row r="773" spans="2:8">
      <c r="B773" s="3"/>
      <c r="G773" t="str">
        <f t="shared" si="24"/>
        <v/>
      </c>
      <c r="H773" t="str">
        <f t="shared" si="25"/>
        <v/>
      </c>
    </row>
    <row r="774" spans="2:8">
      <c r="B774" s="3"/>
      <c r="G774" t="str">
        <f t="shared" si="24"/>
        <v/>
      </c>
      <c r="H774" t="str">
        <f t="shared" si="25"/>
        <v/>
      </c>
    </row>
    <row r="775" spans="2:8">
      <c r="B775" s="3"/>
      <c r="G775" t="str">
        <f t="shared" si="24"/>
        <v/>
      </c>
      <c r="H775" t="str">
        <f t="shared" si="25"/>
        <v/>
      </c>
    </row>
    <row r="776" spans="2:8">
      <c r="B776" s="3"/>
      <c r="G776" t="str">
        <f t="shared" si="24"/>
        <v/>
      </c>
      <c r="H776" t="str">
        <f t="shared" si="25"/>
        <v/>
      </c>
    </row>
    <row r="777" spans="2:8">
      <c r="B777" s="3"/>
      <c r="G777" t="str">
        <f t="shared" si="24"/>
        <v/>
      </c>
      <c r="H777" t="str">
        <f t="shared" si="25"/>
        <v/>
      </c>
    </row>
    <row r="778" spans="2:8">
      <c r="B778" s="3"/>
      <c r="G778" t="str">
        <f t="shared" si="24"/>
        <v/>
      </c>
      <c r="H778" t="str">
        <f t="shared" si="25"/>
        <v/>
      </c>
    </row>
    <row r="779" spans="2:8">
      <c r="B779" s="3"/>
      <c r="G779" t="str">
        <f t="shared" si="24"/>
        <v/>
      </c>
      <c r="H779" t="str">
        <f t="shared" si="25"/>
        <v/>
      </c>
    </row>
    <row r="780" spans="2:8">
      <c r="B780" s="3"/>
      <c r="G780" t="str">
        <f t="shared" si="24"/>
        <v/>
      </c>
      <c r="H780" t="str">
        <f t="shared" si="25"/>
        <v/>
      </c>
    </row>
    <row r="781" spans="2:8">
      <c r="B781" s="3"/>
      <c r="G781" t="str">
        <f t="shared" si="24"/>
        <v/>
      </c>
      <c r="H781" t="str">
        <f t="shared" si="25"/>
        <v/>
      </c>
    </row>
    <row r="782" spans="2:8">
      <c r="B782" s="3"/>
      <c r="G782" t="str">
        <f t="shared" si="24"/>
        <v/>
      </c>
      <c r="H782" t="str">
        <f t="shared" si="25"/>
        <v/>
      </c>
    </row>
    <row r="783" spans="2:8">
      <c r="B783" s="3"/>
      <c r="G783" t="str">
        <f t="shared" si="24"/>
        <v/>
      </c>
      <c r="H783" t="str">
        <f t="shared" si="25"/>
        <v/>
      </c>
    </row>
    <row r="784" spans="2:8">
      <c r="B784" s="3"/>
      <c r="G784" t="str">
        <f t="shared" si="24"/>
        <v/>
      </c>
      <c r="H784" t="str">
        <f t="shared" si="25"/>
        <v/>
      </c>
    </row>
    <row r="785" spans="2:8">
      <c r="B785" s="3"/>
      <c r="G785" t="str">
        <f t="shared" si="24"/>
        <v/>
      </c>
      <c r="H785" t="str">
        <f t="shared" si="25"/>
        <v/>
      </c>
    </row>
    <row r="786" spans="2:8">
      <c r="B786" s="3"/>
      <c r="G786" t="str">
        <f t="shared" si="24"/>
        <v/>
      </c>
      <c r="H786" t="str">
        <f t="shared" si="25"/>
        <v/>
      </c>
    </row>
    <row r="787" spans="2:8">
      <c r="B787" s="3"/>
      <c r="G787" t="str">
        <f t="shared" si="24"/>
        <v/>
      </c>
      <c r="H787" t="str">
        <f t="shared" si="25"/>
        <v/>
      </c>
    </row>
    <row r="788" spans="2:8">
      <c r="B788" s="3"/>
      <c r="G788" t="str">
        <f t="shared" si="24"/>
        <v/>
      </c>
      <c r="H788" t="str">
        <f t="shared" si="25"/>
        <v/>
      </c>
    </row>
    <row r="789" spans="2:8">
      <c r="B789" s="3"/>
      <c r="G789" t="str">
        <f t="shared" si="24"/>
        <v/>
      </c>
      <c r="H789" t="str">
        <f t="shared" si="25"/>
        <v/>
      </c>
    </row>
    <row r="790" spans="2:8">
      <c r="B790" s="3"/>
      <c r="G790" t="str">
        <f t="shared" si="24"/>
        <v/>
      </c>
      <c r="H790" t="str">
        <f t="shared" si="25"/>
        <v/>
      </c>
    </row>
    <row r="791" spans="2:8">
      <c r="B791" s="3"/>
      <c r="G791" t="str">
        <f t="shared" si="24"/>
        <v/>
      </c>
      <c r="H791" t="str">
        <f t="shared" si="25"/>
        <v/>
      </c>
    </row>
    <row r="792" spans="2:8">
      <c r="B792" s="3"/>
      <c r="G792" t="str">
        <f t="shared" si="24"/>
        <v/>
      </c>
      <c r="H792" t="str">
        <f t="shared" si="25"/>
        <v/>
      </c>
    </row>
    <row r="793" spans="2:8">
      <c r="B793" s="3"/>
      <c r="G793" t="str">
        <f t="shared" si="24"/>
        <v/>
      </c>
      <c r="H793" t="str">
        <f t="shared" si="25"/>
        <v/>
      </c>
    </row>
    <row r="794" spans="2:8">
      <c r="B794" s="3"/>
      <c r="G794" t="str">
        <f t="shared" si="24"/>
        <v/>
      </c>
      <c r="H794" t="str">
        <f t="shared" si="25"/>
        <v/>
      </c>
    </row>
    <row r="795" spans="2:8">
      <c r="B795" s="3"/>
      <c r="G795" t="str">
        <f t="shared" si="24"/>
        <v/>
      </c>
      <c r="H795" t="str">
        <f t="shared" si="25"/>
        <v/>
      </c>
    </row>
    <row r="796" spans="2:8">
      <c r="B796" s="3"/>
      <c r="G796" t="str">
        <f t="shared" si="24"/>
        <v/>
      </c>
      <c r="H796" t="str">
        <f t="shared" si="25"/>
        <v/>
      </c>
    </row>
    <row r="797" spans="2:8">
      <c r="B797" s="3"/>
      <c r="G797" t="str">
        <f t="shared" si="24"/>
        <v/>
      </c>
      <c r="H797" t="str">
        <f t="shared" si="25"/>
        <v/>
      </c>
    </row>
    <row r="798" spans="2:8">
      <c r="B798" s="3"/>
      <c r="G798" t="str">
        <f t="shared" si="24"/>
        <v/>
      </c>
      <c r="H798" t="str">
        <f t="shared" si="25"/>
        <v/>
      </c>
    </row>
    <row r="799" spans="2:8">
      <c r="B799" s="3"/>
      <c r="G799" t="str">
        <f t="shared" si="24"/>
        <v/>
      </c>
      <c r="H799" t="str">
        <f t="shared" si="25"/>
        <v/>
      </c>
    </row>
    <row r="800" spans="2:8">
      <c r="B800" s="3"/>
      <c r="G800" t="str">
        <f t="shared" si="24"/>
        <v/>
      </c>
      <c r="H800" t="str">
        <f t="shared" si="25"/>
        <v/>
      </c>
    </row>
    <row r="801" spans="2:8">
      <c r="B801" s="3"/>
      <c r="G801" t="str">
        <f t="shared" si="24"/>
        <v/>
      </c>
      <c r="H801" t="str">
        <f t="shared" si="25"/>
        <v/>
      </c>
    </row>
    <row r="802" spans="2:8">
      <c r="B802" s="3"/>
      <c r="G802" t="str">
        <f t="shared" si="24"/>
        <v/>
      </c>
      <c r="H802" t="str">
        <f t="shared" si="25"/>
        <v/>
      </c>
    </row>
    <row r="803" spans="2:8">
      <c r="B803" s="3"/>
      <c r="G803" t="str">
        <f t="shared" si="24"/>
        <v/>
      </c>
      <c r="H803" t="str">
        <f t="shared" si="25"/>
        <v/>
      </c>
    </row>
    <row r="804" spans="2:8">
      <c r="B804" s="3"/>
      <c r="G804" t="str">
        <f t="shared" si="24"/>
        <v/>
      </c>
      <c r="H804" t="str">
        <f t="shared" si="25"/>
        <v/>
      </c>
    </row>
    <row r="805" spans="2:8">
      <c r="B805" s="3"/>
      <c r="G805" t="str">
        <f t="shared" si="24"/>
        <v/>
      </c>
      <c r="H805" t="str">
        <f t="shared" si="25"/>
        <v/>
      </c>
    </row>
    <row r="806" spans="2:8">
      <c r="B806" s="3"/>
      <c r="G806" t="str">
        <f t="shared" si="24"/>
        <v/>
      </c>
      <c r="H806" t="str">
        <f t="shared" si="25"/>
        <v/>
      </c>
    </row>
    <row r="807" spans="2:8">
      <c r="B807" s="3"/>
      <c r="G807" t="str">
        <f t="shared" si="24"/>
        <v/>
      </c>
      <c r="H807" t="str">
        <f t="shared" si="25"/>
        <v/>
      </c>
    </row>
    <row r="808" spans="2:8">
      <c r="B808" s="3"/>
      <c r="G808" t="str">
        <f t="shared" si="24"/>
        <v/>
      </c>
      <c r="H808" t="str">
        <f t="shared" si="25"/>
        <v/>
      </c>
    </row>
    <row r="809" spans="2:8">
      <c r="B809" s="3"/>
      <c r="G809" t="str">
        <f t="shared" si="24"/>
        <v/>
      </c>
      <c r="H809" t="str">
        <f t="shared" si="25"/>
        <v/>
      </c>
    </row>
    <row r="810" spans="2:8">
      <c r="B810" s="3"/>
      <c r="G810" t="str">
        <f t="shared" si="24"/>
        <v/>
      </c>
      <c r="H810" t="str">
        <f t="shared" si="25"/>
        <v/>
      </c>
    </row>
    <row r="811" spans="2:8">
      <c r="B811" s="3"/>
      <c r="G811" t="str">
        <f t="shared" si="24"/>
        <v/>
      </c>
      <c r="H811" t="str">
        <f t="shared" si="25"/>
        <v/>
      </c>
    </row>
    <row r="812" spans="2:8">
      <c r="B812" s="3"/>
      <c r="G812" t="str">
        <f t="shared" si="24"/>
        <v/>
      </c>
      <c r="H812" t="str">
        <f t="shared" si="25"/>
        <v/>
      </c>
    </row>
    <row r="813" spans="2:8">
      <c r="B813" s="3"/>
      <c r="G813" t="str">
        <f t="shared" si="24"/>
        <v/>
      </c>
      <c r="H813" t="str">
        <f t="shared" si="25"/>
        <v/>
      </c>
    </row>
    <row r="814" spans="2:8">
      <c r="B814" s="3"/>
      <c r="G814" t="str">
        <f t="shared" si="24"/>
        <v/>
      </c>
      <c r="H814" t="str">
        <f t="shared" si="25"/>
        <v/>
      </c>
    </row>
    <row r="815" spans="2:8">
      <c r="B815" s="3"/>
      <c r="G815" t="str">
        <f t="shared" si="24"/>
        <v/>
      </c>
      <c r="H815" t="str">
        <f t="shared" si="25"/>
        <v/>
      </c>
    </row>
    <row r="816" spans="2:8">
      <c r="B816" s="3"/>
      <c r="G816" t="str">
        <f t="shared" si="24"/>
        <v/>
      </c>
      <c r="H816" t="str">
        <f t="shared" si="25"/>
        <v/>
      </c>
    </row>
    <row r="817" spans="2:8">
      <c r="B817" s="3"/>
      <c r="G817" t="str">
        <f t="shared" si="24"/>
        <v/>
      </c>
      <c r="H817" t="str">
        <f t="shared" si="25"/>
        <v/>
      </c>
    </row>
    <row r="818" spans="2:8">
      <c r="B818" s="3"/>
      <c r="G818" t="str">
        <f t="shared" si="24"/>
        <v/>
      </c>
      <c r="H818" t="str">
        <f t="shared" si="25"/>
        <v/>
      </c>
    </row>
    <row r="819" spans="2:8">
      <c r="B819" s="3"/>
      <c r="G819" t="str">
        <f t="shared" si="24"/>
        <v/>
      </c>
      <c r="H819" t="str">
        <f t="shared" si="25"/>
        <v/>
      </c>
    </row>
    <row r="820" spans="2:8">
      <c r="B820" s="3"/>
      <c r="G820" t="str">
        <f t="shared" si="24"/>
        <v/>
      </c>
      <c r="H820" t="str">
        <f t="shared" si="25"/>
        <v/>
      </c>
    </row>
    <row r="821" spans="2:8">
      <c r="B821" s="3"/>
      <c r="G821" t="str">
        <f t="shared" si="24"/>
        <v/>
      </c>
      <c r="H821" t="str">
        <f t="shared" si="25"/>
        <v/>
      </c>
    </row>
    <row r="822" spans="2:8">
      <c r="B822" s="3"/>
      <c r="G822" t="str">
        <f t="shared" si="24"/>
        <v/>
      </c>
      <c r="H822" t="str">
        <f t="shared" si="25"/>
        <v/>
      </c>
    </row>
    <row r="823" spans="2:8">
      <c r="B823" s="3"/>
      <c r="G823" t="str">
        <f t="shared" si="24"/>
        <v/>
      </c>
      <c r="H823" t="str">
        <f t="shared" si="25"/>
        <v/>
      </c>
    </row>
    <row r="824" spans="2:8">
      <c r="B824" s="3"/>
      <c r="G824" t="str">
        <f t="shared" si="24"/>
        <v/>
      </c>
      <c r="H824" t="str">
        <f t="shared" si="25"/>
        <v/>
      </c>
    </row>
    <row r="825" spans="2:8">
      <c r="B825" s="3"/>
      <c r="G825" t="str">
        <f t="shared" si="24"/>
        <v/>
      </c>
      <c r="H825" t="str">
        <f t="shared" si="25"/>
        <v/>
      </c>
    </row>
    <row r="826" spans="2:8">
      <c r="B826" s="3"/>
      <c r="G826" t="str">
        <f t="shared" si="24"/>
        <v/>
      </c>
      <c r="H826" t="str">
        <f t="shared" si="25"/>
        <v/>
      </c>
    </row>
    <row r="827" spans="2:8">
      <c r="B827" s="3"/>
      <c r="G827" t="str">
        <f t="shared" si="24"/>
        <v/>
      </c>
      <c r="H827" t="str">
        <f t="shared" si="25"/>
        <v/>
      </c>
    </row>
    <row r="828" spans="2:8">
      <c r="B828" s="3"/>
      <c r="G828" t="str">
        <f t="shared" si="24"/>
        <v/>
      </c>
      <c r="H828" t="str">
        <f t="shared" si="25"/>
        <v/>
      </c>
    </row>
    <row r="829" spans="2:8">
      <c r="B829" s="3"/>
      <c r="G829" t="str">
        <f t="shared" si="24"/>
        <v/>
      </c>
      <c r="H829" t="str">
        <f t="shared" si="25"/>
        <v/>
      </c>
    </row>
    <row r="830" spans="2:8">
      <c r="B830" s="3"/>
      <c r="G830" t="str">
        <f t="shared" si="24"/>
        <v/>
      </c>
      <c r="H830" t="str">
        <f t="shared" si="25"/>
        <v/>
      </c>
    </row>
    <row r="831" spans="2:8">
      <c r="B831" s="3"/>
      <c r="G831" t="str">
        <f t="shared" si="24"/>
        <v/>
      </c>
      <c r="H831" t="str">
        <f t="shared" si="25"/>
        <v/>
      </c>
    </row>
    <row r="832" spans="2:8">
      <c r="B832" s="3"/>
      <c r="G832" t="str">
        <f t="shared" si="24"/>
        <v/>
      </c>
      <c r="H832" t="str">
        <f t="shared" si="25"/>
        <v/>
      </c>
    </row>
    <row r="833" spans="2:8">
      <c r="B833" s="3"/>
      <c r="G833" t="str">
        <f t="shared" si="24"/>
        <v/>
      </c>
      <c r="H833" t="str">
        <f t="shared" si="25"/>
        <v/>
      </c>
    </row>
    <row r="834" spans="2:8">
      <c r="B834" s="3"/>
      <c r="G834" t="str">
        <f t="shared" si="24"/>
        <v/>
      </c>
      <c r="H834" t="str">
        <f t="shared" si="25"/>
        <v/>
      </c>
    </row>
    <row r="835" spans="2:8">
      <c r="B835" s="3"/>
      <c r="G835" t="str">
        <f t="shared" ref="G835:G898" si="26">IF(OR(E835="",F835=""),"",E835*F835)</f>
        <v/>
      </c>
      <c r="H835" t="str">
        <f t="shared" ref="H835:H898" si="27">IF(OR(C835="",D835=""),"",C835&amp;"|"&amp;D835)</f>
        <v/>
      </c>
    </row>
    <row r="836" spans="2:8">
      <c r="B836" s="3"/>
      <c r="G836" t="str">
        <f t="shared" si="26"/>
        <v/>
      </c>
      <c r="H836" t="str">
        <f t="shared" si="27"/>
        <v/>
      </c>
    </row>
    <row r="837" spans="2:8">
      <c r="B837" s="3"/>
      <c r="G837" t="str">
        <f t="shared" si="26"/>
        <v/>
      </c>
      <c r="H837" t="str">
        <f t="shared" si="27"/>
        <v/>
      </c>
    </row>
    <row r="838" spans="2:8">
      <c r="B838" s="3"/>
      <c r="G838" t="str">
        <f t="shared" si="26"/>
        <v/>
      </c>
      <c r="H838" t="str">
        <f t="shared" si="27"/>
        <v/>
      </c>
    </row>
    <row r="839" spans="2:8">
      <c r="B839" s="3"/>
      <c r="G839" t="str">
        <f t="shared" si="26"/>
        <v/>
      </c>
      <c r="H839" t="str">
        <f t="shared" si="27"/>
        <v/>
      </c>
    </row>
    <row r="840" spans="2:8">
      <c r="B840" s="3"/>
      <c r="G840" t="str">
        <f t="shared" si="26"/>
        <v/>
      </c>
      <c r="H840" t="str">
        <f t="shared" si="27"/>
        <v/>
      </c>
    </row>
    <row r="841" spans="2:8">
      <c r="B841" s="3"/>
      <c r="G841" t="str">
        <f t="shared" si="26"/>
        <v/>
      </c>
      <c r="H841" t="str">
        <f t="shared" si="27"/>
        <v/>
      </c>
    </row>
    <row r="842" spans="2:8">
      <c r="B842" s="3"/>
      <c r="G842" t="str">
        <f t="shared" si="26"/>
        <v/>
      </c>
      <c r="H842" t="str">
        <f t="shared" si="27"/>
        <v/>
      </c>
    </row>
    <row r="843" spans="2:8">
      <c r="B843" s="3"/>
      <c r="G843" t="str">
        <f t="shared" si="26"/>
        <v/>
      </c>
      <c r="H843" t="str">
        <f t="shared" si="27"/>
        <v/>
      </c>
    </row>
    <row r="844" spans="2:8">
      <c r="B844" s="3"/>
      <c r="G844" t="str">
        <f t="shared" si="26"/>
        <v/>
      </c>
      <c r="H844" t="str">
        <f t="shared" si="27"/>
        <v/>
      </c>
    </row>
    <row r="845" spans="2:8">
      <c r="B845" s="3"/>
      <c r="G845" t="str">
        <f t="shared" si="26"/>
        <v/>
      </c>
      <c r="H845" t="str">
        <f t="shared" si="27"/>
        <v/>
      </c>
    </row>
    <row r="846" spans="2:8">
      <c r="B846" s="3"/>
      <c r="G846" t="str">
        <f t="shared" si="26"/>
        <v/>
      </c>
      <c r="H846" t="str">
        <f t="shared" si="27"/>
        <v/>
      </c>
    </row>
    <row r="847" spans="2:8">
      <c r="B847" s="3"/>
      <c r="G847" t="str">
        <f t="shared" si="26"/>
        <v/>
      </c>
      <c r="H847" t="str">
        <f t="shared" si="27"/>
        <v/>
      </c>
    </row>
    <row r="848" spans="2:8">
      <c r="B848" s="3"/>
      <c r="G848" t="str">
        <f t="shared" si="26"/>
        <v/>
      </c>
      <c r="H848" t="str">
        <f t="shared" si="27"/>
        <v/>
      </c>
    </row>
    <row r="849" spans="2:8">
      <c r="B849" s="3"/>
      <c r="G849" t="str">
        <f t="shared" si="26"/>
        <v/>
      </c>
      <c r="H849" t="str">
        <f t="shared" si="27"/>
        <v/>
      </c>
    </row>
    <row r="850" spans="2:8">
      <c r="B850" s="3"/>
      <c r="G850" t="str">
        <f t="shared" si="26"/>
        <v/>
      </c>
      <c r="H850" t="str">
        <f t="shared" si="27"/>
        <v/>
      </c>
    </row>
    <row r="851" spans="2:8">
      <c r="B851" s="3"/>
      <c r="G851" t="str">
        <f t="shared" si="26"/>
        <v/>
      </c>
      <c r="H851" t="str">
        <f t="shared" si="27"/>
        <v/>
      </c>
    </row>
    <row r="852" spans="2:8">
      <c r="B852" s="3"/>
      <c r="G852" t="str">
        <f t="shared" si="26"/>
        <v/>
      </c>
      <c r="H852" t="str">
        <f t="shared" si="27"/>
        <v/>
      </c>
    </row>
    <row r="853" spans="2:8">
      <c r="B853" s="3"/>
      <c r="G853" t="str">
        <f t="shared" si="26"/>
        <v/>
      </c>
      <c r="H853" t="str">
        <f t="shared" si="27"/>
        <v/>
      </c>
    </row>
    <row r="854" spans="2:8">
      <c r="B854" s="3"/>
      <c r="G854" t="str">
        <f t="shared" si="26"/>
        <v/>
      </c>
      <c r="H854" t="str">
        <f t="shared" si="27"/>
        <v/>
      </c>
    </row>
    <row r="855" spans="2:8">
      <c r="B855" s="3"/>
      <c r="G855" t="str">
        <f t="shared" si="26"/>
        <v/>
      </c>
      <c r="H855" t="str">
        <f t="shared" si="27"/>
        <v/>
      </c>
    </row>
    <row r="856" spans="2:8">
      <c r="B856" s="3"/>
      <c r="G856" t="str">
        <f t="shared" si="26"/>
        <v/>
      </c>
      <c r="H856" t="str">
        <f t="shared" si="27"/>
        <v/>
      </c>
    </row>
    <row r="857" spans="2:8">
      <c r="B857" s="3"/>
      <c r="G857" t="str">
        <f t="shared" si="26"/>
        <v/>
      </c>
      <c r="H857" t="str">
        <f t="shared" si="27"/>
        <v/>
      </c>
    </row>
    <row r="858" spans="2:8">
      <c r="B858" s="3"/>
      <c r="G858" t="str">
        <f t="shared" si="26"/>
        <v/>
      </c>
      <c r="H858" t="str">
        <f t="shared" si="27"/>
        <v/>
      </c>
    </row>
    <row r="859" spans="2:8">
      <c r="B859" s="3"/>
      <c r="G859" t="str">
        <f t="shared" si="26"/>
        <v/>
      </c>
      <c r="H859" t="str">
        <f t="shared" si="27"/>
        <v/>
      </c>
    </row>
    <row r="860" spans="2:8">
      <c r="B860" s="3"/>
      <c r="G860" t="str">
        <f t="shared" si="26"/>
        <v/>
      </c>
      <c r="H860" t="str">
        <f t="shared" si="27"/>
        <v/>
      </c>
    </row>
    <row r="861" spans="2:8">
      <c r="B861" s="3"/>
      <c r="G861" t="str">
        <f t="shared" si="26"/>
        <v/>
      </c>
      <c r="H861" t="str">
        <f t="shared" si="27"/>
        <v/>
      </c>
    </row>
    <row r="862" spans="2:8">
      <c r="B862" s="3"/>
      <c r="G862" t="str">
        <f t="shared" si="26"/>
        <v/>
      </c>
      <c r="H862" t="str">
        <f t="shared" si="27"/>
        <v/>
      </c>
    </row>
    <row r="863" spans="2:8">
      <c r="B863" s="3"/>
      <c r="G863" t="str">
        <f t="shared" si="26"/>
        <v/>
      </c>
      <c r="H863" t="str">
        <f t="shared" si="27"/>
        <v/>
      </c>
    </row>
    <row r="864" spans="2:8">
      <c r="B864" s="3"/>
      <c r="G864" t="str">
        <f t="shared" si="26"/>
        <v/>
      </c>
      <c r="H864" t="str">
        <f t="shared" si="27"/>
        <v/>
      </c>
    </row>
    <row r="865" spans="2:8">
      <c r="B865" s="3"/>
      <c r="G865" t="str">
        <f t="shared" si="26"/>
        <v/>
      </c>
      <c r="H865" t="str">
        <f t="shared" si="27"/>
        <v/>
      </c>
    </row>
    <row r="866" spans="2:8">
      <c r="B866" s="3"/>
      <c r="G866" t="str">
        <f t="shared" si="26"/>
        <v/>
      </c>
      <c r="H866" t="str">
        <f t="shared" si="27"/>
        <v/>
      </c>
    </row>
    <row r="867" spans="2:8">
      <c r="B867" s="3"/>
      <c r="G867" t="str">
        <f t="shared" si="26"/>
        <v/>
      </c>
      <c r="H867" t="str">
        <f t="shared" si="27"/>
        <v/>
      </c>
    </row>
    <row r="868" spans="2:8">
      <c r="B868" s="3"/>
      <c r="G868" t="str">
        <f t="shared" si="26"/>
        <v/>
      </c>
      <c r="H868" t="str">
        <f t="shared" si="27"/>
        <v/>
      </c>
    </row>
    <row r="869" spans="2:8">
      <c r="B869" s="3"/>
      <c r="G869" t="str">
        <f t="shared" si="26"/>
        <v/>
      </c>
      <c r="H869" t="str">
        <f t="shared" si="27"/>
        <v/>
      </c>
    </row>
    <row r="870" spans="2:8">
      <c r="B870" s="3"/>
      <c r="G870" t="str">
        <f t="shared" si="26"/>
        <v/>
      </c>
      <c r="H870" t="str">
        <f t="shared" si="27"/>
        <v/>
      </c>
    </row>
    <row r="871" spans="2:8">
      <c r="B871" s="3"/>
      <c r="G871" t="str">
        <f t="shared" si="26"/>
        <v/>
      </c>
      <c r="H871" t="str">
        <f t="shared" si="27"/>
        <v/>
      </c>
    </row>
    <row r="872" spans="2:8">
      <c r="B872" s="3"/>
      <c r="G872" t="str">
        <f t="shared" si="26"/>
        <v/>
      </c>
      <c r="H872" t="str">
        <f t="shared" si="27"/>
        <v/>
      </c>
    </row>
    <row r="873" spans="2:8">
      <c r="B873" s="3"/>
      <c r="G873" t="str">
        <f t="shared" si="26"/>
        <v/>
      </c>
      <c r="H873" t="str">
        <f t="shared" si="27"/>
        <v/>
      </c>
    </row>
    <row r="874" spans="2:8">
      <c r="B874" s="3"/>
      <c r="G874" t="str">
        <f t="shared" si="26"/>
        <v/>
      </c>
      <c r="H874" t="str">
        <f t="shared" si="27"/>
        <v/>
      </c>
    </row>
    <row r="875" spans="2:8">
      <c r="B875" s="3"/>
      <c r="G875" t="str">
        <f t="shared" si="26"/>
        <v/>
      </c>
      <c r="H875" t="str">
        <f t="shared" si="27"/>
        <v/>
      </c>
    </row>
    <row r="876" spans="2:8">
      <c r="B876" s="3"/>
      <c r="G876" t="str">
        <f t="shared" si="26"/>
        <v/>
      </c>
      <c r="H876" t="str">
        <f t="shared" si="27"/>
        <v/>
      </c>
    </row>
    <row r="877" spans="2:8">
      <c r="B877" s="3"/>
      <c r="G877" t="str">
        <f t="shared" si="26"/>
        <v/>
      </c>
      <c r="H877" t="str">
        <f t="shared" si="27"/>
        <v/>
      </c>
    </row>
    <row r="878" spans="2:8">
      <c r="B878" s="3"/>
      <c r="G878" t="str">
        <f t="shared" si="26"/>
        <v/>
      </c>
      <c r="H878" t="str">
        <f t="shared" si="27"/>
        <v/>
      </c>
    </row>
    <row r="879" spans="2:8">
      <c r="B879" s="3"/>
      <c r="G879" t="str">
        <f t="shared" si="26"/>
        <v/>
      </c>
      <c r="H879" t="str">
        <f t="shared" si="27"/>
        <v/>
      </c>
    </row>
    <row r="880" spans="2:8">
      <c r="B880" s="3"/>
      <c r="G880" t="str">
        <f t="shared" si="26"/>
        <v/>
      </c>
      <c r="H880" t="str">
        <f t="shared" si="27"/>
        <v/>
      </c>
    </row>
    <row r="881" spans="2:8">
      <c r="B881" s="3"/>
      <c r="G881" t="str">
        <f t="shared" si="26"/>
        <v/>
      </c>
      <c r="H881" t="str">
        <f t="shared" si="27"/>
        <v/>
      </c>
    </row>
    <row r="882" spans="2:8">
      <c r="B882" s="3"/>
      <c r="G882" t="str">
        <f t="shared" si="26"/>
        <v/>
      </c>
      <c r="H882" t="str">
        <f t="shared" si="27"/>
        <v/>
      </c>
    </row>
    <row r="883" spans="2:8">
      <c r="B883" s="3"/>
      <c r="G883" t="str">
        <f t="shared" si="26"/>
        <v/>
      </c>
      <c r="H883" t="str">
        <f t="shared" si="27"/>
        <v/>
      </c>
    </row>
    <row r="884" spans="2:8">
      <c r="B884" s="3"/>
      <c r="G884" t="str">
        <f t="shared" si="26"/>
        <v/>
      </c>
      <c r="H884" t="str">
        <f t="shared" si="27"/>
        <v/>
      </c>
    </row>
    <row r="885" spans="2:8">
      <c r="B885" s="3"/>
      <c r="G885" t="str">
        <f t="shared" si="26"/>
        <v/>
      </c>
      <c r="H885" t="str">
        <f t="shared" si="27"/>
        <v/>
      </c>
    </row>
    <row r="886" spans="2:8">
      <c r="B886" s="3"/>
      <c r="G886" t="str">
        <f t="shared" si="26"/>
        <v/>
      </c>
      <c r="H886" t="str">
        <f t="shared" si="27"/>
        <v/>
      </c>
    </row>
    <row r="887" spans="2:8">
      <c r="B887" s="3"/>
      <c r="G887" t="str">
        <f t="shared" si="26"/>
        <v/>
      </c>
      <c r="H887" t="str">
        <f t="shared" si="27"/>
        <v/>
      </c>
    </row>
    <row r="888" spans="2:8">
      <c r="B888" s="3"/>
      <c r="G888" t="str">
        <f t="shared" si="26"/>
        <v/>
      </c>
      <c r="H888" t="str">
        <f t="shared" si="27"/>
        <v/>
      </c>
    </row>
    <row r="889" spans="2:8">
      <c r="B889" s="3"/>
      <c r="G889" t="str">
        <f t="shared" si="26"/>
        <v/>
      </c>
      <c r="H889" t="str">
        <f t="shared" si="27"/>
        <v/>
      </c>
    </row>
    <row r="890" spans="2:8">
      <c r="B890" s="3"/>
      <c r="G890" t="str">
        <f t="shared" si="26"/>
        <v/>
      </c>
      <c r="H890" t="str">
        <f t="shared" si="27"/>
        <v/>
      </c>
    </row>
    <row r="891" spans="2:8">
      <c r="B891" s="3"/>
      <c r="G891" t="str">
        <f t="shared" si="26"/>
        <v/>
      </c>
      <c r="H891" t="str">
        <f t="shared" si="27"/>
        <v/>
      </c>
    </row>
    <row r="892" spans="2:8">
      <c r="B892" s="3"/>
      <c r="G892" t="str">
        <f t="shared" si="26"/>
        <v/>
      </c>
      <c r="H892" t="str">
        <f t="shared" si="27"/>
        <v/>
      </c>
    </row>
    <row r="893" spans="2:8">
      <c r="B893" s="3"/>
      <c r="G893" t="str">
        <f t="shared" si="26"/>
        <v/>
      </c>
      <c r="H893" t="str">
        <f t="shared" si="27"/>
        <v/>
      </c>
    </row>
    <row r="894" spans="2:8">
      <c r="B894" s="3"/>
      <c r="G894" t="str">
        <f t="shared" si="26"/>
        <v/>
      </c>
      <c r="H894" t="str">
        <f t="shared" si="27"/>
        <v/>
      </c>
    </row>
    <row r="895" spans="2:8">
      <c r="B895" s="3"/>
      <c r="G895" t="str">
        <f t="shared" si="26"/>
        <v/>
      </c>
      <c r="H895" t="str">
        <f t="shared" si="27"/>
        <v/>
      </c>
    </row>
    <row r="896" spans="2:8">
      <c r="B896" s="3"/>
      <c r="G896" t="str">
        <f t="shared" si="26"/>
        <v/>
      </c>
      <c r="H896" t="str">
        <f t="shared" si="27"/>
        <v/>
      </c>
    </row>
    <row r="897" spans="2:8">
      <c r="B897" s="3"/>
      <c r="G897" t="str">
        <f t="shared" si="26"/>
        <v/>
      </c>
      <c r="H897" t="str">
        <f t="shared" si="27"/>
        <v/>
      </c>
    </row>
    <row r="898" spans="2:8">
      <c r="B898" s="3"/>
      <c r="G898" t="str">
        <f t="shared" si="26"/>
        <v/>
      </c>
      <c r="H898" t="str">
        <f t="shared" si="27"/>
        <v/>
      </c>
    </row>
    <row r="899" spans="2:8">
      <c r="B899" s="3"/>
      <c r="G899" t="str">
        <f t="shared" ref="G899:G962" si="28">IF(OR(E899="",F899=""),"",E899*F899)</f>
        <v/>
      </c>
      <c r="H899" t="str">
        <f t="shared" ref="H899:H962" si="29">IF(OR(C899="",D899=""),"",C899&amp;"|"&amp;D899)</f>
        <v/>
      </c>
    </row>
    <row r="900" spans="2:8">
      <c r="B900" s="3"/>
      <c r="G900" t="str">
        <f t="shared" si="28"/>
        <v/>
      </c>
      <c r="H900" t="str">
        <f t="shared" si="29"/>
        <v/>
      </c>
    </row>
    <row r="901" spans="2:8">
      <c r="B901" s="3"/>
      <c r="G901" t="str">
        <f t="shared" si="28"/>
        <v/>
      </c>
      <c r="H901" t="str">
        <f t="shared" si="29"/>
        <v/>
      </c>
    </row>
    <row r="902" spans="2:8">
      <c r="B902" s="3"/>
      <c r="G902" t="str">
        <f t="shared" si="28"/>
        <v/>
      </c>
      <c r="H902" t="str">
        <f t="shared" si="29"/>
        <v/>
      </c>
    </row>
    <row r="903" spans="2:8">
      <c r="B903" s="3"/>
      <c r="G903" t="str">
        <f t="shared" si="28"/>
        <v/>
      </c>
      <c r="H903" t="str">
        <f t="shared" si="29"/>
        <v/>
      </c>
    </row>
    <row r="904" spans="2:8">
      <c r="B904" s="3"/>
      <c r="G904" t="str">
        <f t="shared" si="28"/>
        <v/>
      </c>
      <c r="H904" t="str">
        <f t="shared" si="29"/>
        <v/>
      </c>
    </row>
    <row r="905" spans="2:8">
      <c r="B905" s="3"/>
      <c r="G905" t="str">
        <f t="shared" si="28"/>
        <v/>
      </c>
      <c r="H905" t="str">
        <f t="shared" si="29"/>
        <v/>
      </c>
    </row>
    <row r="906" spans="2:8">
      <c r="B906" s="3"/>
      <c r="G906" t="str">
        <f t="shared" si="28"/>
        <v/>
      </c>
      <c r="H906" t="str">
        <f t="shared" si="29"/>
        <v/>
      </c>
    </row>
    <row r="907" spans="2:8">
      <c r="B907" s="3"/>
      <c r="G907" t="str">
        <f t="shared" si="28"/>
        <v/>
      </c>
      <c r="H907" t="str">
        <f t="shared" si="29"/>
        <v/>
      </c>
    </row>
    <row r="908" spans="2:8">
      <c r="B908" s="3"/>
      <c r="G908" t="str">
        <f t="shared" si="28"/>
        <v/>
      </c>
      <c r="H908" t="str">
        <f t="shared" si="29"/>
        <v/>
      </c>
    </row>
    <row r="909" spans="2:8">
      <c r="B909" s="3"/>
      <c r="G909" t="str">
        <f t="shared" si="28"/>
        <v/>
      </c>
      <c r="H909" t="str">
        <f t="shared" si="29"/>
        <v/>
      </c>
    </row>
    <row r="910" spans="2:8">
      <c r="B910" s="3"/>
      <c r="G910" t="str">
        <f t="shared" si="28"/>
        <v/>
      </c>
      <c r="H910" t="str">
        <f t="shared" si="29"/>
        <v/>
      </c>
    </row>
    <row r="911" spans="2:8">
      <c r="B911" s="3"/>
      <c r="G911" t="str">
        <f t="shared" si="28"/>
        <v/>
      </c>
      <c r="H911" t="str">
        <f t="shared" si="29"/>
        <v/>
      </c>
    </row>
    <row r="912" spans="2:8">
      <c r="B912" s="3"/>
      <c r="G912" t="str">
        <f t="shared" si="28"/>
        <v/>
      </c>
      <c r="H912" t="str">
        <f t="shared" si="29"/>
        <v/>
      </c>
    </row>
    <row r="913" spans="2:8">
      <c r="B913" s="3"/>
      <c r="G913" t="str">
        <f t="shared" si="28"/>
        <v/>
      </c>
      <c r="H913" t="str">
        <f t="shared" si="29"/>
        <v/>
      </c>
    </row>
    <row r="914" spans="2:8">
      <c r="B914" s="3"/>
      <c r="G914" t="str">
        <f t="shared" si="28"/>
        <v/>
      </c>
      <c r="H914" t="str">
        <f t="shared" si="29"/>
        <v/>
      </c>
    </row>
    <row r="915" spans="2:8">
      <c r="B915" s="3"/>
      <c r="G915" t="str">
        <f t="shared" si="28"/>
        <v/>
      </c>
      <c r="H915" t="str">
        <f t="shared" si="29"/>
        <v/>
      </c>
    </row>
    <row r="916" spans="2:8">
      <c r="B916" s="3"/>
      <c r="G916" t="str">
        <f t="shared" si="28"/>
        <v/>
      </c>
      <c r="H916" t="str">
        <f t="shared" si="29"/>
        <v/>
      </c>
    </row>
    <row r="917" spans="2:8">
      <c r="B917" s="3"/>
      <c r="G917" t="str">
        <f t="shared" si="28"/>
        <v/>
      </c>
      <c r="H917" t="str">
        <f t="shared" si="29"/>
        <v/>
      </c>
    </row>
    <row r="918" spans="2:8">
      <c r="B918" s="3"/>
      <c r="G918" t="str">
        <f t="shared" si="28"/>
        <v/>
      </c>
      <c r="H918" t="str">
        <f t="shared" si="29"/>
        <v/>
      </c>
    </row>
    <row r="919" spans="2:8">
      <c r="B919" s="3"/>
      <c r="G919" t="str">
        <f t="shared" si="28"/>
        <v/>
      </c>
      <c r="H919" t="str">
        <f t="shared" si="29"/>
        <v/>
      </c>
    </row>
    <row r="920" spans="2:8">
      <c r="B920" s="3"/>
      <c r="G920" t="str">
        <f t="shared" si="28"/>
        <v/>
      </c>
      <c r="H920" t="str">
        <f t="shared" si="29"/>
        <v/>
      </c>
    </row>
    <row r="921" spans="2:8">
      <c r="B921" s="3"/>
      <c r="G921" t="str">
        <f t="shared" si="28"/>
        <v/>
      </c>
      <c r="H921" t="str">
        <f t="shared" si="29"/>
        <v/>
      </c>
    </row>
    <row r="922" spans="2:8">
      <c r="B922" s="3"/>
      <c r="G922" t="str">
        <f t="shared" si="28"/>
        <v/>
      </c>
      <c r="H922" t="str">
        <f t="shared" si="29"/>
        <v/>
      </c>
    </row>
    <row r="923" spans="2:8">
      <c r="B923" s="3"/>
      <c r="G923" t="str">
        <f t="shared" si="28"/>
        <v/>
      </c>
      <c r="H923" t="str">
        <f t="shared" si="29"/>
        <v/>
      </c>
    </row>
    <row r="924" spans="2:8">
      <c r="B924" s="3"/>
      <c r="G924" t="str">
        <f t="shared" si="28"/>
        <v/>
      </c>
      <c r="H924" t="str">
        <f t="shared" si="29"/>
        <v/>
      </c>
    </row>
    <row r="925" spans="2:8">
      <c r="B925" s="3"/>
      <c r="G925" t="str">
        <f t="shared" si="28"/>
        <v/>
      </c>
      <c r="H925" t="str">
        <f t="shared" si="29"/>
        <v/>
      </c>
    </row>
    <row r="926" spans="2:8">
      <c r="B926" s="3"/>
      <c r="G926" t="str">
        <f t="shared" si="28"/>
        <v/>
      </c>
      <c r="H926" t="str">
        <f t="shared" si="29"/>
        <v/>
      </c>
    </row>
    <row r="927" spans="2:8">
      <c r="B927" s="3"/>
      <c r="G927" t="str">
        <f t="shared" si="28"/>
        <v/>
      </c>
      <c r="H927" t="str">
        <f t="shared" si="29"/>
        <v/>
      </c>
    </row>
    <row r="928" spans="2:8">
      <c r="B928" s="3"/>
      <c r="G928" t="str">
        <f t="shared" si="28"/>
        <v/>
      </c>
      <c r="H928" t="str">
        <f t="shared" si="29"/>
        <v/>
      </c>
    </row>
    <row r="929" spans="2:8">
      <c r="B929" s="3"/>
      <c r="G929" t="str">
        <f t="shared" si="28"/>
        <v/>
      </c>
      <c r="H929" t="str">
        <f t="shared" si="29"/>
        <v/>
      </c>
    </row>
    <row r="930" spans="2:8">
      <c r="B930" s="3"/>
      <c r="G930" t="str">
        <f t="shared" si="28"/>
        <v/>
      </c>
      <c r="H930" t="str">
        <f t="shared" si="29"/>
        <v/>
      </c>
    </row>
    <row r="931" spans="2:8">
      <c r="B931" s="3"/>
      <c r="G931" t="str">
        <f t="shared" si="28"/>
        <v/>
      </c>
      <c r="H931" t="str">
        <f t="shared" si="29"/>
        <v/>
      </c>
    </row>
    <row r="932" spans="2:8">
      <c r="B932" s="3"/>
      <c r="G932" t="str">
        <f t="shared" si="28"/>
        <v/>
      </c>
      <c r="H932" t="str">
        <f t="shared" si="29"/>
        <v/>
      </c>
    </row>
    <row r="933" spans="2:8">
      <c r="B933" s="3"/>
      <c r="G933" t="str">
        <f t="shared" si="28"/>
        <v/>
      </c>
      <c r="H933" t="str">
        <f t="shared" si="29"/>
        <v/>
      </c>
    </row>
    <row r="934" spans="2:8">
      <c r="B934" s="3"/>
      <c r="G934" t="str">
        <f t="shared" si="28"/>
        <v/>
      </c>
      <c r="H934" t="str">
        <f t="shared" si="29"/>
        <v/>
      </c>
    </row>
    <row r="935" spans="2:8">
      <c r="B935" s="3"/>
      <c r="G935" t="str">
        <f t="shared" si="28"/>
        <v/>
      </c>
      <c r="H935" t="str">
        <f t="shared" si="29"/>
        <v/>
      </c>
    </row>
    <row r="936" spans="2:8">
      <c r="B936" s="3"/>
      <c r="G936" t="str">
        <f t="shared" si="28"/>
        <v/>
      </c>
      <c r="H936" t="str">
        <f t="shared" si="29"/>
        <v/>
      </c>
    </row>
    <row r="937" spans="2:8">
      <c r="B937" s="3"/>
      <c r="G937" t="str">
        <f t="shared" si="28"/>
        <v/>
      </c>
      <c r="H937" t="str">
        <f t="shared" si="29"/>
        <v/>
      </c>
    </row>
    <row r="938" spans="2:8">
      <c r="B938" s="3"/>
      <c r="G938" t="str">
        <f t="shared" si="28"/>
        <v/>
      </c>
      <c r="H938" t="str">
        <f t="shared" si="29"/>
        <v/>
      </c>
    </row>
    <row r="939" spans="2:8">
      <c r="B939" s="3"/>
      <c r="G939" t="str">
        <f t="shared" si="28"/>
        <v/>
      </c>
      <c r="H939" t="str">
        <f t="shared" si="29"/>
        <v/>
      </c>
    </row>
    <row r="940" spans="2:8">
      <c r="B940" s="3"/>
      <c r="G940" t="str">
        <f t="shared" si="28"/>
        <v/>
      </c>
      <c r="H940" t="str">
        <f t="shared" si="29"/>
        <v/>
      </c>
    </row>
    <row r="941" spans="2:8">
      <c r="B941" s="3"/>
      <c r="G941" t="str">
        <f t="shared" si="28"/>
        <v/>
      </c>
      <c r="H941" t="str">
        <f t="shared" si="29"/>
        <v/>
      </c>
    </row>
    <row r="942" spans="2:8">
      <c r="B942" s="3"/>
      <c r="G942" t="str">
        <f t="shared" si="28"/>
        <v/>
      </c>
      <c r="H942" t="str">
        <f t="shared" si="29"/>
        <v/>
      </c>
    </row>
    <row r="943" spans="2:8">
      <c r="B943" s="3"/>
      <c r="G943" t="str">
        <f t="shared" si="28"/>
        <v/>
      </c>
      <c r="H943" t="str">
        <f t="shared" si="29"/>
        <v/>
      </c>
    </row>
    <row r="944" spans="2:8">
      <c r="B944" s="3"/>
      <c r="G944" t="str">
        <f t="shared" si="28"/>
        <v/>
      </c>
      <c r="H944" t="str">
        <f t="shared" si="29"/>
        <v/>
      </c>
    </row>
    <row r="945" spans="2:8">
      <c r="B945" s="3"/>
      <c r="G945" t="str">
        <f t="shared" si="28"/>
        <v/>
      </c>
      <c r="H945" t="str">
        <f t="shared" si="29"/>
        <v/>
      </c>
    </row>
    <row r="946" spans="2:8">
      <c r="B946" s="3"/>
      <c r="G946" t="str">
        <f t="shared" si="28"/>
        <v/>
      </c>
      <c r="H946" t="str">
        <f t="shared" si="29"/>
        <v/>
      </c>
    </row>
    <row r="947" spans="2:8">
      <c r="B947" s="3"/>
      <c r="G947" t="str">
        <f t="shared" si="28"/>
        <v/>
      </c>
      <c r="H947" t="str">
        <f t="shared" si="29"/>
        <v/>
      </c>
    </row>
    <row r="948" spans="2:8">
      <c r="B948" s="3"/>
      <c r="G948" t="str">
        <f t="shared" si="28"/>
        <v/>
      </c>
      <c r="H948" t="str">
        <f t="shared" si="29"/>
        <v/>
      </c>
    </row>
    <row r="949" spans="2:8">
      <c r="B949" s="3"/>
      <c r="G949" t="str">
        <f t="shared" si="28"/>
        <v/>
      </c>
      <c r="H949" t="str">
        <f t="shared" si="29"/>
        <v/>
      </c>
    </row>
    <row r="950" spans="2:8">
      <c r="B950" s="3"/>
      <c r="G950" t="str">
        <f t="shared" si="28"/>
        <v/>
      </c>
      <c r="H950" t="str">
        <f t="shared" si="29"/>
        <v/>
      </c>
    </row>
    <row r="951" spans="2:8">
      <c r="B951" s="3"/>
      <c r="G951" t="str">
        <f t="shared" si="28"/>
        <v/>
      </c>
      <c r="H951" t="str">
        <f t="shared" si="29"/>
        <v/>
      </c>
    </row>
    <row r="952" spans="2:8">
      <c r="B952" s="3"/>
      <c r="G952" t="str">
        <f t="shared" si="28"/>
        <v/>
      </c>
      <c r="H952" t="str">
        <f t="shared" si="29"/>
        <v/>
      </c>
    </row>
    <row r="953" spans="2:8">
      <c r="B953" s="3"/>
      <c r="G953" t="str">
        <f t="shared" si="28"/>
        <v/>
      </c>
      <c r="H953" t="str">
        <f t="shared" si="29"/>
        <v/>
      </c>
    </row>
    <row r="954" spans="2:8">
      <c r="B954" s="3"/>
      <c r="G954" t="str">
        <f t="shared" si="28"/>
        <v/>
      </c>
      <c r="H954" t="str">
        <f t="shared" si="29"/>
        <v/>
      </c>
    </row>
    <row r="955" spans="2:8">
      <c r="B955" s="3"/>
      <c r="G955" t="str">
        <f t="shared" si="28"/>
        <v/>
      </c>
      <c r="H955" t="str">
        <f t="shared" si="29"/>
        <v/>
      </c>
    </row>
    <row r="956" spans="2:8">
      <c r="B956" s="3"/>
      <c r="G956" t="str">
        <f t="shared" si="28"/>
        <v/>
      </c>
      <c r="H956" t="str">
        <f t="shared" si="29"/>
        <v/>
      </c>
    </row>
    <row r="957" spans="2:8">
      <c r="B957" s="3"/>
      <c r="G957" t="str">
        <f t="shared" si="28"/>
        <v/>
      </c>
      <c r="H957" t="str">
        <f t="shared" si="29"/>
        <v/>
      </c>
    </row>
    <row r="958" spans="2:8">
      <c r="B958" s="3"/>
      <c r="G958" t="str">
        <f t="shared" si="28"/>
        <v/>
      </c>
      <c r="H958" t="str">
        <f t="shared" si="29"/>
        <v/>
      </c>
    </row>
    <row r="959" spans="2:8">
      <c r="B959" s="3"/>
      <c r="G959" t="str">
        <f t="shared" si="28"/>
        <v/>
      </c>
      <c r="H959" t="str">
        <f t="shared" si="29"/>
        <v/>
      </c>
    </row>
    <row r="960" spans="2:8">
      <c r="B960" s="3"/>
      <c r="G960" t="str">
        <f t="shared" si="28"/>
        <v/>
      </c>
      <c r="H960" t="str">
        <f t="shared" si="29"/>
        <v/>
      </c>
    </row>
    <row r="961" spans="2:8">
      <c r="B961" s="3"/>
      <c r="G961" t="str">
        <f t="shared" si="28"/>
        <v/>
      </c>
      <c r="H961" t="str">
        <f t="shared" si="29"/>
        <v/>
      </c>
    </row>
    <row r="962" spans="2:8">
      <c r="B962" s="3"/>
      <c r="G962" t="str">
        <f t="shared" si="28"/>
        <v/>
      </c>
      <c r="H962" t="str">
        <f t="shared" si="29"/>
        <v/>
      </c>
    </row>
    <row r="963" spans="2:8">
      <c r="B963" s="3"/>
      <c r="G963" t="str">
        <f t="shared" ref="G963:G1026" si="30">IF(OR(E963="",F963=""),"",E963*F963)</f>
        <v/>
      </c>
      <c r="H963" t="str">
        <f t="shared" ref="H963:H1026" si="31">IF(OR(C963="",D963=""),"",C963&amp;"|"&amp;D963)</f>
        <v/>
      </c>
    </row>
    <row r="964" spans="2:8">
      <c r="B964" s="3"/>
      <c r="G964" t="str">
        <f t="shared" si="30"/>
        <v/>
      </c>
      <c r="H964" t="str">
        <f t="shared" si="31"/>
        <v/>
      </c>
    </row>
    <row r="965" spans="2:8">
      <c r="B965" s="3"/>
      <c r="G965" t="str">
        <f t="shared" si="30"/>
        <v/>
      </c>
      <c r="H965" t="str">
        <f t="shared" si="31"/>
        <v/>
      </c>
    </row>
    <row r="966" spans="2:8">
      <c r="B966" s="3"/>
      <c r="G966" t="str">
        <f t="shared" si="30"/>
        <v/>
      </c>
      <c r="H966" t="str">
        <f t="shared" si="31"/>
        <v/>
      </c>
    </row>
    <row r="967" spans="2:8">
      <c r="B967" s="3"/>
      <c r="G967" t="str">
        <f t="shared" si="30"/>
        <v/>
      </c>
      <c r="H967" t="str">
        <f t="shared" si="31"/>
        <v/>
      </c>
    </row>
    <row r="968" spans="2:8">
      <c r="B968" s="3"/>
      <c r="G968" t="str">
        <f t="shared" si="30"/>
        <v/>
      </c>
      <c r="H968" t="str">
        <f t="shared" si="31"/>
        <v/>
      </c>
    </row>
    <row r="969" spans="2:8">
      <c r="B969" s="3"/>
      <c r="G969" t="str">
        <f t="shared" si="30"/>
        <v/>
      </c>
      <c r="H969" t="str">
        <f t="shared" si="31"/>
        <v/>
      </c>
    </row>
    <row r="970" spans="2:8">
      <c r="B970" s="3"/>
      <c r="G970" t="str">
        <f t="shared" si="30"/>
        <v/>
      </c>
      <c r="H970" t="str">
        <f t="shared" si="31"/>
        <v/>
      </c>
    </row>
    <row r="971" spans="2:8">
      <c r="B971" s="3"/>
      <c r="G971" t="str">
        <f t="shared" si="30"/>
        <v/>
      </c>
      <c r="H971" t="str">
        <f t="shared" si="31"/>
        <v/>
      </c>
    </row>
    <row r="972" spans="2:8">
      <c r="B972" s="3"/>
      <c r="G972" t="str">
        <f t="shared" si="30"/>
        <v/>
      </c>
      <c r="H972" t="str">
        <f t="shared" si="31"/>
        <v/>
      </c>
    </row>
    <row r="973" spans="2:8">
      <c r="B973" s="3"/>
      <c r="G973" t="str">
        <f t="shared" si="30"/>
        <v/>
      </c>
      <c r="H973" t="str">
        <f t="shared" si="31"/>
        <v/>
      </c>
    </row>
    <row r="974" spans="2:8">
      <c r="B974" s="3"/>
      <c r="G974" t="str">
        <f t="shared" si="30"/>
        <v/>
      </c>
      <c r="H974" t="str">
        <f t="shared" si="31"/>
        <v/>
      </c>
    </row>
    <row r="975" spans="2:8">
      <c r="B975" s="3"/>
      <c r="G975" t="str">
        <f t="shared" si="30"/>
        <v/>
      </c>
      <c r="H975" t="str">
        <f t="shared" si="31"/>
        <v/>
      </c>
    </row>
    <row r="976" spans="2:8">
      <c r="B976" s="3"/>
      <c r="G976" t="str">
        <f t="shared" si="30"/>
        <v/>
      </c>
      <c r="H976" t="str">
        <f t="shared" si="31"/>
        <v/>
      </c>
    </row>
    <row r="977" spans="2:8">
      <c r="B977" s="3"/>
      <c r="G977" t="str">
        <f t="shared" si="30"/>
        <v/>
      </c>
      <c r="H977" t="str">
        <f t="shared" si="31"/>
        <v/>
      </c>
    </row>
    <row r="978" spans="2:8">
      <c r="B978" s="3"/>
      <c r="G978" t="str">
        <f t="shared" si="30"/>
        <v/>
      </c>
      <c r="H978" t="str">
        <f t="shared" si="31"/>
        <v/>
      </c>
    </row>
    <row r="979" spans="2:8">
      <c r="B979" s="3"/>
      <c r="G979" t="str">
        <f t="shared" si="30"/>
        <v/>
      </c>
      <c r="H979" t="str">
        <f t="shared" si="31"/>
        <v/>
      </c>
    </row>
    <row r="980" spans="2:8">
      <c r="B980" s="3"/>
      <c r="G980" t="str">
        <f t="shared" si="30"/>
        <v/>
      </c>
      <c r="H980" t="str">
        <f t="shared" si="31"/>
        <v/>
      </c>
    </row>
    <row r="981" spans="2:8">
      <c r="B981" s="3"/>
      <c r="G981" t="str">
        <f t="shared" si="30"/>
        <v/>
      </c>
      <c r="H981" t="str">
        <f t="shared" si="31"/>
        <v/>
      </c>
    </row>
    <row r="982" spans="2:8">
      <c r="B982" s="3"/>
      <c r="G982" t="str">
        <f t="shared" si="30"/>
        <v/>
      </c>
      <c r="H982" t="str">
        <f t="shared" si="31"/>
        <v/>
      </c>
    </row>
    <row r="983" spans="2:8">
      <c r="B983" s="3"/>
      <c r="G983" t="str">
        <f t="shared" si="30"/>
        <v/>
      </c>
      <c r="H983" t="str">
        <f t="shared" si="31"/>
        <v/>
      </c>
    </row>
    <row r="984" spans="2:8">
      <c r="B984" s="3"/>
      <c r="G984" t="str">
        <f t="shared" si="30"/>
        <v/>
      </c>
      <c r="H984" t="str">
        <f t="shared" si="31"/>
        <v/>
      </c>
    </row>
    <row r="985" spans="2:8">
      <c r="B985" s="3"/>
      <c r="G985" t="str">
        <f t="shared" si="30"/>
        <v/>
      </c>
      <c r="H985" t="str">
        <f t="shared" si="31"/>
        <v/>
      </c>
    </row>
    <row r="986" spans="2:8">
      <c r="B986" s="3"/>
      <c r="G986" t="str">
        <f t="shared" si="30"/>
        <v/>
      </c>
      <c r="H986" t="str">
        <f t="shared" si="31"/>
        <v/>
      </c>
    </row>
    <row r="987" spans="2:8">
      <c r="B987" s="3"/>
      <c r="G987" t="str">
        <f t="shared" si="30"/>
        <v/>
      </c>
      <c r="H987" t="str">
        <f t="shared" si="31"/>
        <v/>
      </c>
    </row>
    <row r="988" spans="2:8">
      <c r="B988" s="3"/>
      <c r="G988" t="str">
        <f t="shared" si="30"/>
        <v/>
      </c>
      <c r="H988" t="str">
        <f t="shared" si="31"/>
        <v/>
      </c>
    </row>
    <row r="989" spans="2:8">
      <c r="B989" s="3"/>
      <c r="G989" t="str">
        <f t="shared" si="30"/>
        <v/>
      </c>
      <c r="H989" t="str">
        <f t="shared" si="31"/>
        <v/>
      </c>
    </row>
    <row r="990" spans="2:8">
      <c r="B990" s="3"/>
      <c r="G990" t="str">
        <f t="shared" si="30"/>
        <v/>
      </c>
      <c r="H990" t="str">
        <f t="shared" si="31"/>
        <v/>
      </c>
    </row>
    <row r="991" spans="2:8">
      <c r="B991" s="3"/>
      <c r="G991" t="str">
        <f t="shared" si="30"/>
        <v/>
      </c>
      <c r="H991" t="str">
        <f t="shared" si="31"/>
        <v/>
      </c>
    </row>
    <row r="992" spans="2:8">
      <c r="B992" s="3"/>
      <c r="G992" t="str">
        <f t="shared" si="30"/>
        <v/>
      </c>
      <c r="H992" t="str">
        <f t="shared" si="31"/>
        <v/>
      </c>
    </row>
    <row r="993" spans="2:8">
      <c r="B993" s="3"/>
      <c r="G993" t="str">
        <f t="shared" si="30"/>
        <v/>
      </c>
      <c r="H993" t="str">
        <f t="shared" si="31"/>
        <v/>
      </c>
    </row>
    <row r="994" spans="2:8">
      <c r="B994" s="3"/>
      <c r="G994" t="str">
        <f t="shared" si="30"/>
        <v/>
      </c>
      <c r="H994" t="str">
        <f t="shared" si="31"/>
        <v/>
      </c>
    </row>
    <row r="995" spans="2:8">
      <c r="B995" s="3"/>
      <c r="G995" t="str">
        <f t="shared" si="30"/>
        <v/>
      </c>
      <c r="H995" t="str">
        <f t="shared" si="31"/>
        <v/>
      </c>
    </row>
    <row r="996" spans="2:8">
      <c r="B996" s="3"/>
      <c r="G996" t="str">
        <f t="shared" si="30"/>
        <v/>
      </c>
      <c r="H996" t="str">
        <f t="shared" si="31"/>
        <v/>
      </c>
    </row>
    <row r="997" spans="2:8">
      <c r="B997" s="3"/>
      <c r="G997" t="str">
        <f t="shared" si="30"/>
        <v/>
      </c>
      <c r="H997" t="str">
        <f t="shared" si="31"/>
        <v/>
      </c>
    </row>
    <row r="998" spans="2:8">
      <c r="B998" s="3"/>
      <c r="G998" t="str">
        <f t="shared" si="30"/>
        <v/>
      </c>
      <c r="H998" t="str">
        <f t="shared" si="31"/>
        <v/>
      </c>
    </row>
    <row r="999" spans="2:8">
      <c r="B999" s="3"/>
      <c r="G999" t="str">
        <f t="shared" si="30"/>
        <v/>
      </c>
      <c r="H999" t="str">
        <f t="shared" si="31"/>
        <v/>
      </c>
    </row>
    <row r="1000" spans="2:8">
      <c r="B1000" s="3"/>
      <c r="G1000" t="str">
        <f t="shared" si="30"/>
        <v/>
      </c>
      <c r="H1000" t="str">
        <f t="shared" si="31"/>
        <v/>
      </c>
    </row>
    <row r="1001" spans="2:8">
      <c r="B1001" s="3"/>
      <c r="G1001" t="str">
        <f t="shared" si="30"/>
        <v/>
      </c>
      <c r="H1001" t="str">
        <f t="shared" si="31"/>
        <v/>
      </c>
    </row>
    <row r="1002" spans="2:8">
      <c r="B1002" s="3"/>
      <c r="G1002" t="str">
        <f t="shared" si="30"/>
        <v/>
      </c>
      <c r="H1002" t="str">
        <f t="shared" si="31"/>
        <v/>
      </c>
    </row>
    <row r="1003" spans="2:8">
      <c r="B1003" s="3"/>
      <c r="G1003" t="str">
        <f t="shared" si="30"/>
        <v/>
      </c>
      <c r="H1003" t="str">
        <f t="shared" si="31"/>
        <v/>
      </c>
    </row>
    <row r="1004" spans="2:8">
      <c r="B1004" s="3"/>
      <c r="G1004" t="str">
        <f t="shared" si="30"/>
        <v/>
      </c>
      <c r="H1004" t="str">
        <f t="shared" si="31"/>
        <v/>
      </c>
    </row>
    <row r="1005" spans="2:8">
      <c r="B1005" s="3"/>
      <c r="G1005" t="str">
        <f t="shared" si="30"/>
        <v/>
      </c>
      <c r="H1005" t="str">
        <f t="shared" si="31"/>
        <v/>
      </c>
    </row>
    <row r="1006" spans="2:8">
      <c r="B1006" s="3"/>
      <c r="G1006" t="str">
        <f t="shared" si="30"/>
        <v/>
      </c>
      <c r="H1006" t="str">
        <f t="shared" si="31"/>
        <v/>
      </c>
    </row>
    <row r="1007" spans="2:8">
      <c r="B1007" s="3"/>
      <c r="G1007" t="str">
        <f t="shared" si="30"/>
        <v/>
      </c>
      <c r="H1007" t="str">
        <f t="shared" si="31"/>
        <v/>
      </c>
    </row>
    <row r="1008" spans="2:8">
      <c r="B1008" s="3"/>
      <c r="G1008" t="str">
        <f t="shared" si="30"/>
        <v/>
      </c>
      <c r="H1008" t="str">
        <f t="shared" si="31"/>
        <v/>
      </c>
    </row>
    <row r="1009" spans="2:8">
      <c r="B1009" s="3"/>
      <c r="G1009" t="str">
        <f t="shared" si="30"/>
        <v/>
      </c>
      <c r="H1009" t="str">
        <f t="shared" si="31"/>
        <v/>
      </c>
    </row>
    <row r="1010" spans="2:8">
      <c r="B1010" s="3"/>
      <c r="G1010" t="str">
        <f t="shared" si="30"/>
        <v/>
      </c>
      <c r="H1010" t="str">
        <f t="shared" si="31"/>
        <v/>
      </c>
    </row>
    <row r="1011" spans="2:8">
      <c r="B1011" s="3"/>
      <c r="G1011" t="str">
        <f t="shared" si="30"/>
        <v/>
      </c>
      <c r="H1011" t="str">
        <f t="shared" si="31"/>
        <v/>
      </c>
    </row>
    <row r="1012" spans="2:8">
      <c r="B1012" s="3"/>
      <c r="G1012" t="str">
        <f t="shared" si="30"/>
        <v/>
      </c>
      <c r="H1012" t="str">
        <f t="shared" si="31"/>
        <v/>
      </c>
    </row>
    <row r="1013" spans="2:8">
      <c r="B1013" s="3"/>
      <c r="G1013" t="str">
        <f t="shared" si="30"/>
        <v/>
      </c>
      <c r="H1013" t="str">
        <f t="shared" si="31"/>
        <v/>
      </c>
    </row>
    <row r="1014" spans="2:8">
      <c r="B1014" s="3"/>
      <c r="G1014" t="str">
        <f t="shared" si="30"/>
        <v/>
      </c>
      <c r="H1014" t="str">
        <f t="shared" si="31"/>
        <v/>
      </c>
    </row>
    <row r="1015" spans="2:8">
      <c r="B1015" s="3"/>
      <c r="G1015" t="str">
        <f t="shared" si="30"/>
        <v/>
      </c>
      <c r="H1015" t="str">
        <f t="shared" si="31"/>
        <v/>
      </c>
    </row>
    <row r="1016" spans="2:8">
      <c r="B1016" s="3"/>
      <c r="G1016" t="str">
        <f t="shared" si="30"/>
        <v/>
      </c>
      <c r="H1016" t="str">
        <f t="shared" si="31"/>
        <v/>
      </c>
    </row>
    <row r="1017" spans="2:8">
      <c r="B1017" s="3"/>
      <c r="G1017" t="str">
        <f t="shared" si="30"/>
        <v/>
      </c>
      <c r="H1017" t="str">
        <f t="shared" si="31"/>
        <v/>
      </c>
    </row>
    <row r="1018" spans="2:8">
      <c r="B1018" s="3"/>
      <c r="G1018" t="str">
        <f t="shared" si="30"/>
        <v/>
      </c>
      <c r="H1018" t="str">
        <f t="shared" si="31"/>
        <v/>
      </c>
    </row>
    <row r="1019" spans="2:8">
      <c r="B1019" s="3"/>
      <c r="G1019" t="str">
        <f t="shared" si="30"/>
        <v/>
      </c>
      <c r="H1019" t="str">
        <f t="shared" si="31"/>
        <v/>
      </c>
    </row>
    <row r="1020" spans="2:8">
      <c r="B1020" s="3"/>
      <c r="G1020" t="str">
        <f t="shared" si="30"/>
        <v/>
      </c>
      <c r="H1020" t="str">
        <f t="shared" si="31"/>
        <v/>
      </c>
    </row>
    <row r="1021" spans="2:8">
      <c r="B1021" s="3"/>
      <c r="G1021" t="str">
        <f t="shared" si="30"/>
        <v/>
      </c>
      <c r="H1021" t="str">
        <f t="shared" si="31"/>
        <v/>
      </c>
    </row>
    <row r="1022" spans="2:8">
      <c r="B1022" s="3"/>
      <c r="G1022" t="str">
        <f t="shared" si="30"/>
        <v/>
      </c>
      <c r="H1022" t="str">
        <f t="shared" si="31"/>
        <v/>
      </c>
    </row>
    <row r="1023" spans="2:8">
      <c r="B1023" s="3"/>
      <c r="G1023" t="str">
        <f t="shared" si="30"/>
        <v/>
      </c>
      <c r="H1023" t="str">
        <f t="shared" si="31"/>
        <v/>
      </c>
    </row>
    <row r="1024" spans="2:8">
      <c r="B1024" s="3"/>
      <c r="G1024" t="str">
        <f t="shared" si="30"/>
        <v/>
      </c>
      <c r="H1024" t="str">
        <f t="shared" si="31"/>
        <v/>
      </c>
    </row>
    <row r="1025" spans="2:8">
      <c r="B1025" s="3"/>
      <c r="G1025" t="str">
        <f t="shared" si="30"/>
        <v/>
      </c>
      <c r="H1025" t="str">
        <f t="shared" si="31"/>
        <v/>
      </c>
    </row>
    <row r="1026" spans="2:8">
      <c r="B1026" s="3"/>
      <c r="G1026" t="str">
        <f t="shared" si="30"/>
        <v/>
      </c>
      <c r="H1026" t="str">
        <f t="shared" si="31"/>
        <v/>
      </c>
    </row>
    <row r="1027" spans="2:8">
      <c r="B1027" s="3"/>
      <c r="G1027" t="str">
        <f t="shared" ref="G1027:G1049" si="32">IF(OR(E1027="",F1027=""),"",E1027*F1027)</f>
        <v/>
      </c>
      <c r="H1027" t="str">
        <f t="shared" ref="H1027:H1049" si="33">IF(OR(C1027="",D1027=""),"",C1027&amp;"|"&amp;D1027)</f>
        <v/>
      </c>
    </row>
    <row r="1028" spans="2:8">
      <c r="B1028" s="3"/>
      <c r="G1028" t="str">
        <f t="shared" si="32"/>
        <v/>
      </c>
      <c r="H1028" t="str">
        <f t="shared" si="33"/>
        <v/>
      </c>
    </row>
    <row r="1029" spans="2:8">
      <c r="B1029" s="3"/>
      <c r="G1029" t="str">
        <f t="shared" si="32"/>
        <v/>
      </c>
      <c r="H1029" t="str">
        <f t="shared" si="33"/>
        <v/>
      </c>
    </row>
    <row r="1030" spans="2:8">
      <c r="B1030" s="3"/>
      <c r="G1030" t="str">
        <f t="shared" si="32"/>
        <v/>
      </c>
      <c r="H1030" t="str">
        <f t="shared" si="33"/>
        <v/>
      </c>
    </row>
    <row r="1031" spans="2:8">
      <c r="B1031" s="3"/>
      <c r="G1031" t="str">
        <f t="shared" si="32"/>
        <v/>
      </c>
      <c r="H1031" t="str">
        <f t="shared" si="33"/>
        <v/>
      </c>
    </row>
    <row r="1032" spans="2:8">
      <c r="B1032" s="3"/>
      <c r="G1032" t="str">
        <f t="shared" si="32"/>
        <v/>
      </c>
      <c r="H1032" t="str">
        <f t="shared" si="33"/>
        <v/>
      </c>
    </row>
    <row r="1033" spans="2:8">
      <c r="B1033" s="3"/>
      <c r="G1033" t="str">
        <f t="shared" si="32"/>
        <v/>
      </c>
      <c r="H1033" t="str">
        <f t="shared" si="33"/>
        <v/>
      </c>
    </row>
    <row r="1034" spans="2:8">
      <c r="B1034" s="3"/>
      <c r="G1034" t="str">
        <f t="shared" si="32"/>
        <v/>
      </c>
      <c r="H1034" t="str">
        <f t="shared" si="33"/>
        <v/>
      </c>
    </row>
    <row r="1035" spans="2:8">
      <c r="B1035" s="3"/>
      <c r="G1035" t="str">
        <f t="shared" si="32"/>
        <v/>
      </c>
      <c r="H1035" t="str">
        <f t="shared" si="33"/>
        <v/>
      </c>
    </row>
    <row r="1036" spans="2:8">
      <c r="B1036" s="3"/>
      <c r="G1036" t="str">
        <f t="shared" si="32"/>
        <v/>
      </c>
      <c r="H1036" t="str">
        <f t="shared" si="33"/>
        <v/>
      </c>
    </row>
    <row r="1037" spans="2:8">
      <c r="B1037" s="3"/>
      <c r="G1037" t="str">
        <f t="shared" si="32"/>
        <v/>
      </c>
      <c r="H1037" t="str">
        <f t="shared" si="33"/>
        <v/>
      </c>
    </row>
    <row r="1038" spans="2:8">
      <c r="B1038" s="3"/>
      <c r="G1038" t="str">
        <f t="shared" si="32"/>
        <v/>
      </c>
      <c r="H1038" t="str">
        <f t="shared" si="33"/>
        <v/>
      </c>
    </row>
    <row r="1039" spans="2:8">
      <c r="B1039" s="3"/>
      <c r="G1039" t="str">
        <f t="shared" si="32"/>
        <v/>
      </c>
      <c r="H1039" t="str">
        <f t="shared" si="33"/>
        <v/>
      </c>
    </row>
    <row r="1040" spans="2:8">
      <c r="B1040" s="3"/>
      <c r="G1040" t="str">
        <f t="shared" si="32"/>
        <v/>
      </c>
      <c r="H1040" t="str">
        <f t="shared" si="33"/>
        <v/>
      </c>
    </row>
    <row r="1041" spans="2:8">
      <c r="B1041" s="3"/>
      <c r="G1041" t="str">
        <f t="shared" si="32"/>
        <v/>
      </c>
      <c r="H1041" t="str">
        <f t="shared" si="33"/>
        <v/>
      </c>
    </row>
    <row r="1042" spans="2:8">
      <c r="B1042" s="3"/>
      <c r="G1042" t="str">
        <f t="shared" si="32"/>
        <v/>
      </c>
      <c r="H1042" t="str">
        <f t="shared" si="33"/>
        <v/>
      </c>
    </row>
    <row r="1043" spans="2:8">
      <c r="B1043" s="3"/>
      <c r="G1043" t="str">
        <f t="shared" si="32"/>
        <v/>
      </c>
      <c r="H1043" t="str">
        <f t="shared" si="33"/>
        <v/>
      </c>
    </row>
    <row r="1044" spans="2:8">
      <c r="B1044" s="3"/>
      <c r="G1044" t="str">
        <f t="shared" si="32"/>
        <v/>
      </c>
      <c r="H1044" t="str">
        <f t="shared" si="33"/>
        <v/>
      </c>
    </row>
    <row r="1045" spans="2:8">
      <c r="B1045" s="3"/>
      <c r="G1045" t="str">
        <f t="shared" si="32"/>
        <v/>
      </c>
      <c r="H1045" t="str">
        <f t="shared" si="33"/>
        <v/>
      </c>
    </row>
    <row r="1046" spans="2:8">
      <c r="B1046" s="3"/>
      <c r="G1046" t="str">
        <f t="shared" si="32"/>
        <v/>
      </c>
      <c r="H1046" t="str">
        <f t="shared" si="33"/>
        <v/>
      </c>
    </row>
    <row r="1047" spans="2:8">
      <c r="B1047" s="3"/>
      <c r="G1047" t="str">
        <f t="shared" si="32"/>
        <v/>
      </c>
      <c r="H1047" t="str">
        <f t="shared" si="33"/>
        <v/>
      </c>
    </row>
    <row r="1048" spans="2:8">
      <c r="B1048" s="3"/>
      <c r="G1048" t="str">
        <f t="shared" si="32"/>
        <v/>
      </c>
      <c r="H1048" t="str">
        <f t="shared" si="33"/>
        <v/>
      </c>
    </row>
    <row r="1049" spans="2:8">
      <c r="B1049" s="3"/>
      <c r="G1049" t="str">
        <f t="shared" si="32"/>
        <v/>
      </c>
      <c r="H1049" t="str">
        <f t="shared" si="33"/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K1146"/>
  <sheetViews>
    <sheetView workbookViewId="0">
      <pane ySplit="2" topLeftCell="A236" activePane="bottomLeft" state="frozen"/>
      <selection pane="bottomLeft" activeCell="F253" sqref="F253"/>
    </sheetView>
  </sheetViews>
  <sheetFormatPr defaultRowHeight="14.4"/>
  <cols>
    <col min="1" max="1" width="14" style="30" customWidth="1"/>
    <col min="2" max="2" width="16" style="30" customWidth="1"/>
    <col min="3" max="3" width="14" style="30" customWidth="1"/>
    <col min="4" max="4" width="10" style="30" customWidth="1"/>
    <col min="5" max="9" width="18" style="30" customWidth="1"/>
    <col min="10" max="10" width="20" style="30" customWidth="1"/>
    <col min="11" max="11" width="10" style="30" customWidth="1"/>
  </cols>
  <sheetData>
    <row r="1" spans="1:11" ht="22.05" customHeight="1">
      <c r="A1" s="50" t="s">
        <v>109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>
      <c r="A2" s="22" t="s">
        <v>96</v>
      </c>
      <c r="B2" s="22" t="s">
        <v>98</v>
      </c>
      <c r="C2" s="22" t="s">
        <v>99</v>
      </c>
      <c r="D2" s="22" t="s">
        <v>110</v>
      </c>
      <c r="E2" s="22" t="s">
        <v>111</v>
      </c>
      <c r="F2" s="22" t="s">
        <v>112</v>
      </c>
      <c r="G2" s="22" t="s">
        <v>113</v>
      </c>
      <c r="H2" s="22" t="s">
        <v>102</v>
      </c>
      <c r="I2" s="22" t="s">
        <v>114</v>
      </c>
      <c r="J2" s="22" t="s">
        <v>103</v>
      </c>
      <c r="K2" s="22" t="s">
        <v>115</v>
      </c>
    </row>
    <row r="3" spans="1:11">
      <c r="A3" s="27">
        <v>46114</v>
      </c>
      <c r="B3" s="24" t="s">
        <v>12</v>
      </c>
      <c r="C3" s="24" t="s">
        <v>13</v>
      </c>
      <c r="D3" s="24">
        <v>1</v>
      </c>
      <c r="E3" s="24">
        <v>365</v>
      </c>
      <c r="F3" s="24">
        <f>IF(B3="Egg Shop","",IF(J3="","",IFERROR(LOOKUP(2,1/(Purchases!$H$3:$H$2002=J3),Purchases!$F$3:$F$2002),"")))</f>
        <v>352</v>
      </c>
      <c r="G3" s="24">
        <f t="shared" ref="G3:G66" si="0">IF(OR(D3="",E3=""),"",D3*E3)</f>
        <v>365</v>
      </c>
      <c r="H3" s="24">
        <f t="shared" ref="H3:H66" si="1">IF(OR(D3="",F3=""),"",D3*F3)</f>
        <v>352</v>
      </c>
      <c r="I3" s="24">
        <f t="shared" ref="I3:I66" si="2">IF(OR(G3="",H3=""),"",G3-H3)</f>
        <v>13</v>
      </c>
      <c r="J3" s="24" t="str">
        <f t="shared" ref="J3:J66" si="3">IF(OR(B3="",C3=""),"",B3&amp;"|"&amp;C3)</f>
        <v>Akatsi Feed|LM</v>
      </c>
      <c r="K3" s="24" t="s">
        <v>116</v>
      </c>
    </row>
    <row r="4" spans="1:11">
      <c r="A4" s="27">
        <v>46115</v>
      </c>
      <c r="B4" s="24" t="s">
        <v>12</v>
      </c>
      <c r="C4" s="24" t="s">
        <v>13</v>
      </c>
      <c r="D4" s="24">
        <v>7</v>
      </c>
      <c r="E4" s="24">
        <v>365</v>
      </c>
      <c r="F4" s="24">
        <f>IF(B4="Egg Shop","",IF(J4="","",IFERROR(LOOKUP(2,1/(Purchases!$H$3:$H$2002=J4),Purchases!$F$3:$F$2002),"")))</f>
        <v>352</v>
      </c>
      <c r="G4" s="24">
        <f t="shared" si="0"/>
        <v>2555</v>
      </c>
      <c r="H4" s="24">
        <f t="shared" si="1"/>
        <v>2464</v>
      </c>
      <c r="I4" s="24">
        <f t="shared" si="2"/>
        <v>91</v>
      </c>
      <c r="J4" s="24" t="str">
        <f t="shared" si="3"/>
        <v>Akatsi Feed|LM</v>
      </c>
      <c r="K4" s="24" t="s">
        <v>116</v>
      </c>
    </row>
    <row r="5" spans="1:11">
      <c r="A5" s="27">
        <v>46115</v>
      </c>
      <c r="B5" s="24" t="s">
        <v>12</v>
      </c>
      <c r="C5" s="24" t="s">
        <v>17</v>
      </c>
      <c r="D5" s="24">
        <v>2</v>
      </c>
      <c r="E5" s="24">
        <v>350</v>
      </c>
      <c r="F5" s="24">
        <f>IF(B5="Egg Shop","",IF(J5="","",IFERROR(LOOKUP(2,1/(Purchases!$H$3:$H$2002=J5),Purchases!$F$3:$F$2002),"")))</f>
        <v>340</v>
      </c>
      <c r="G5" s="24">
        <f t="shared" si="0"/>
        <v>700</v>
      </c>
      <c r="H5" s="24">
        <f t="shared" si="1"/>
        <v>680</v>
      </c>
      <c r="I5" s="24">
        <f t="shared" si="2"/>
        <v>20</v>
      </c>
      <c r="J5" s="24" t="str">
        <f t="shared" si="3"/>
        <v>Akatsi Feed|GM</v>
      </c>
      <c r="K5" s="24" t="s">
        <v>116</v>
      </c>
    </row>
    <row r="6" spans="1:11">
      <c r="A6" s="27">
        <v>46115</v>
      </c>
      <c r="B6" s="24" t="s">
        <v>12</v>
      </c>
      <c r="C6" s="24" t="s">
        <v>33</v>
      </c>
      <c r="D6" s="24">
        <v>6</v>
      </c>
      <c r="E6" s="24">
        <v>90</v>
      </c>
      <c r="F6" s="24">
        <f>IF(B6="Egg Shop","",IF(J6="","",IFERROR(LOOKUP(2,1/(Purchases!$H$3:$H$2002=J6),Purchases!$F$3:$F$2002),"")))</f>
        <v>80</v>
      </c>
      <c r="G6" s="24">
        <f t="shared" si="0"/>
        <v>540</v>
      </c>
      <c r="H6" s="24">
        <f t="shared" si="1"/>
        <v>480</v>
      </c>
      <c r="I6" s="24">
        <f t="shared" si="2"/>
        <v>60</v>
      </c>
      <c r="J6" s="24" t="str">
        <f t="shared" si="3"/>
        <v>Akatsi Feed|Crates</v>
      </c>
      <c r="K6" s="24" t="s">
        <v>116</v>
      </c>
    </row>
    <row r="7" spans="1:11">
      <c r="A7" s="27">
        <v>46116</v>
      </c>
      <c r="B7" s="24" t="s">
        <v>12</v>
      </c>
      <c r="C7" s="24" t="s">
        <v>13</v>
      </c>
      <c r="D7" s="24">
        <v>7</v>
      </c>
      <c r="E7" s="24">
        <v>365</v>
      </c>
      <c r="F7" s="24">
        <f>IF(B7="Egg Shop","",IF(J7="","",IFERROR(LOOKUP(2,1/(Purchases!$H$3:$H$2002=J7),Purchases!$F$3:$F$2002),"")))</f>
        <v>352</v>
      </c>
      <c r="G7" s="24">
        <f t="shared" si="0"/>
        <v>2555</v>
      </c>
      <c r="H7" s="24">
        <f t="shared" si="1"/>
        <v>2464</v>
      </c>
      <c r="I7" s="24">
        <f t="shared" si="2"/>
        <v>91</v>
      </c>
      <c r="J7" s="24" t="str">
        <f t="shared" si="3"/>
        <v>Akatsi Feed|LM</v>
      </c>
      <c r="K7" s="24" t="s">
        <v>116</v>
      </c>
    </row>
    <row r="8" spans="1:11">
      <c r="A8" s="27">
        <v>46116</v>
      </c>
      <c r="B8" s="24" t="s">
        <v>12</v>
      </c>
      <c r="C8" s="24" t="s">
        <v>17</v>
      </c>
      <c r="D8" s="24">
        <v>6</v>
      </c>
      <c r="E8" s="24">
        <v>350</v>
      </c>
      <c r="F8" s="24">
        <f>IF(B8="Egg Shop","",IF(J8="","",IFERROR(LOOKUP(2,1/(Purchases!$H$3:$H$2002=J8),Purchases!$F$3:$F$2002),"")))</f>
        <v>340</v>
      </c>
      <c r="G8" s="24">
        <f t="shared" si="0"/>
        <v>2100</v>
      </c>
      <c r="H8" s="24">
        <f t="shared" si="1"/>
        <v>2040</v>
      </c>
      <c r="I8" s="24">
        <f t="shared" si="2"/>
        <v>60</v>
      </c>
      <c r="J8" s="24" t="str">
        <f t="shared" si="3"/>
        <v>Akatsi Feed|GM</v>
      </c>
      <c r="K8" s="24" t="s">
        <v>116</v>
      </c>
    </row>
    <row r="9" spans="1:11">
      <c r="A9" s="27">
        <v>46116</v>
      </c>
      <c r="B9" s="24" t="s">
        <v>12</v>
      </c>
      <c r="C9" s="24" t="s">
        <v>21</v>
      </c>
      <c r="D9" s="24">
        <v>1</v>
      </c>
      <c r="E9" s="24">
        <v>370</v>
      </c>
      <c r="F9" s="24">
        <f>IF(B9="Egg Shop","",IF(J9="","",IFERROR(LOOKUP(2,1/(Purchases!$H$3:$H$2002=J9),Purchases!$F$3:$F$2002),"")))</f>
        <v>357</v>
      </c>
      <c r="G9" s="24">
        <f t="shared" si="0"/>
        <v>370</v>
      </c>
      <c r="H9" s="24">
        <f t="shared" si="1"/>
        <v>357</v>
      </c>
      <c r="I9" s="24">
        <f t="shared" si="2"/>
        <v>13</v>
      </c>
      <c r="J9" s="24" t="str">
        <f t="shared" si="3"/>
        <v>Akatsi Feed|CM</v>
      </c>
      <c r="K9" s="24" t="s">
        <v>116</v>
      </c>
    </row>
    <row r="10" spans="1:11">
      <c r="A10" s="27">
        <v>46116</v>
      </c>
      <c r="B10" s="24" t="s">
        <v>12</v>
      </c>
      <c r="C10" s="24" t="s">
        <v>33</v>
      </c>
      <c r="D10" s="24">
        <v>2</v>
      </c>
      <c r="E10" s="24">
        <v>90</v>
      </c>
      <c r="F10" s="24">
        <f>IF(B10="Egg Shop","",IF(J10="","",IFERROR(LOOKUP(2,1/(Purchases!$H$3:$H$2002=J10),Purchases!$F$3:$F$2002),"")))</f>
        <v>80</v>
      </c>
      <c r="G10" s="24">
        <f t="shared" si="0"/>
        <v>180</v>
      </c>
      <c r="H10" s="24">
        <f t="shared" si="1"/>
        <v>160</v>
      </c>
      <c r="I10" s="24">
        <f t="shared" si="2"/>
        <v>20</v>
      </c>
      <c r="J10" s="24" t="str">
        <f t="shared" si="3"/>
        <v>Akatsi Feed|Crates</v>
      </c>
      <c r="K10" s="24" t="s">
        <v>116</v>
      </c>
    </row>
    <row r="11" spans="1:11">
      <c r="A11" s="27">
        <v>46118</v>
      </c>
      <c r="B11" s="24" t="s">
        <v>12</v>
      </c>
      <c r="C11" s="24" t="s">
        <v>13</v>
      </c>
      <c r="D11" s="24">
        <v>30</v>
      </c>
      <c r="E11" s="24">
        <v>365</v>
      </c>
      <c r="F11" s="24">
        <f>IF(B11="Egg Shop","",IF(J11="","",IFERROR(LOOKUP(2,1/(Purchases!$H$3:$H$2002=J11),Purchases!$F$3:$F$2002),"")))</f>
        <v>352</v>
      </c>
      <c r="G11" s="24">
        <f t="shared" si="0"/>
        <v>10950</v>
      </c>
      <c r="H11" s="24">
        <f t="shared" si="1"/>
        <v>10560</v>
      </c>
      <c r="I11" s="24">
        <f t="shared" si="2"/>
        <v>390</v>
      </c>
      <c r="J11" s="24" t="str">
        <f t="shared" si="3"/>
        <v>Akatsi Feed|LM</v>
      </c>
      <c r="K11" s="24" t="s">
        <v>116</v>
      </c>
    </row>
    <row r="12" spans="1:11">
      <c r="A12" s="27">
        <v>46118</v>
      </c>
      <c r="B12" s="24" t="s">
        <v>12</v>
      </c>
      <c r="C12" s="24" t="s">
        <v>17</v>
      </c>
      <c r="D12" s="24">
        <v>2</v>
      </c>
      <c r="E12" s="24">
        <v>350</v>
      </c>
      <c r="F12" s="24">
        <f>IF(B12="Egg Shop","",IF(J12="","",IFERROR(LOOKUP(2,1/(Purchases!$H$3:$H$2002=J12),Purchases!$F$3:$F$2002),"")))</f>
        <v>340</v>
      </c>
      <c r="G12" s="24">
        <f t="shared" si="0"/>
        <v>700</v>
      </c>
      <c r="H12" s="24">
        <f t="shared" si="1"/>
        <v>680</v>
      </c>
      <c r="I12" s="24">
        <f t="shared" si="2"/>
        <v>20</v>
      </c>
      <c r="J12" s="24" t="str">
        <f t="shared" si="3"/>
        <v>Akatsi Feed|GM</v>
      </c>
      <c r="K12" s="24" t="s">
        <v>116</v>
      </c>
    </row>
    <row r="13" spans="1:11">
      <c r="A13" s="27">
        <v>46118</v>
      </c>
      <c r="B13" s="24" t="s">
        <v>12</v>
      </c>
      <c r="C13" s="24" t="s">
        <v>33</v>
      </c>
      <c r="D13" s="24">
        <v>5</v>
      </c>
      <c r="E13" s="24">
        <v>90</v>
      </c>
      <c r="F13" s="24">
        <f>IF(B13="Egg Shop","",IF(J13="","",IFERROR(LOOKUP(2,1/(Purchases!$H$3:$H$2002=J13),Purchases!$F$3:$F$2002),"")))</f>
        <v>80</v>
      </c>
      <c r="G13" s="24">
        <f t="shared" si="0"/>
        <v>450</v>
      </c>
      <c r="H13" s="24">
        <f t="shared" si="1"/>
        <v>400</v>
      </c>
      <c r="I13" s="24">
        <f t="shared" si="2"/>
        <v>50</v>
      </c>
      <c r="J13" s="24" t="str">
        <f t="shared" si="3"/>
        <v>Akatsi Feed|Crates</v>
      </c>
      <c r="K13" s="24" t="s">
        <v>116</v>
      </c>
    </row>
    <row r="14" spans="1:11">
      <c r="A14" s="27">
        <v>46113</v>
      </c>
      <c r="B14" s="24" t="s">
        <v>16</v>
      </c>
      <c r="C14" s="24" t="s">
        <v>13</v>
      </c>
      <c r="D14" s="24">
        <v>3</v>
      </c>
      <c r="E14" s="24">
        <v>365</v>
      </c>
      <c r="F14" s="24">
        <f>IF(B14="Egg Shop","",IF(J14="","",IFERROR(LOOKUP(2,1/(Purchases!$H$3:$H$2002=J14),Purchases!$F$3:$F$2002),"")))</f>
        <v>352</v>
      </c>
      <c r="G14" s="24">
        <f t="shared" si="0"/>
        <v>1095</v>
      </c>
      <c r="H14" s="24">
        <f t="shared" si="1"/>
        <v>1056</v>
      </c>
      <c r="I14" s="24">
        <f t="shared" si="2"/>
        <v>39</v>
      </c>
      <c r="J14" s="24" t="str">
        <f t="shared" si="3"/>
        <v>Abor Feed|LM</v>
      </c>
      <c r="K14" s="24" t="s">
        <v>116</v>
      </c>
    </row>
    <row r="15" spans="1:11">
      <c r="A15" s="27">
        <v>46114</v>
      </c>
      <c r="B15" s="24" t="s">
        <v>16</v>
      </c>
      <c r="C15" s="24" t="s">
        <v>13</v>
      </c>
      <c r="D15" s="24">
        <v>4</v>
      </c>
      <c r="E15" s="24">
        <v>365</v>
      </c>
      <c r="F15" s="24">
        <f>IF(B15="Egg Shop","",IF(J15="","",IFERROR(LOOKUP(2,1/(Purchases!$H$3:$H$2002=J15),Purchases!$F$3:$F$2002),"")))</f>
        <v>352</v>
      </c>
      <c r="G15" s="24">
        <f t="shared" si="0"/>
        <v>1460</v>
      </c>
      <c r="H15" s="24">
        <f t="shared" si="1"/>
        <v>1408</v>
      </c>
      <c r="I15" s="24">
        <f t="shared" si="2"/>
        <v>52</v>
      </c>
      <c r="J15" s="24" t="str">
        <f t="shared" si="3"/>
        <v>Abor Feed|LM</v>
      </c>
      <c r="K15" s="24" t="s">
        <v>116</v>
      </c>
    </row>
    <row r="16" spans="1:11">
      <c r="A16" s="27">
        <v>46115</v>
      </c>
      <c r="B16" s="24" t="s">
        <v>16</v>
      </c>
      <c r="C16" s="24" t="s">
        <v>13</v>
      </c>
      <c r="D16" s="24">
        <v>4</v>
      </c>
      <c r="E16" s="24">
        <v>365</v>
      </c>
      <c r="F16" s="24">
        <f>IF(B16="Egg Shop","",IF(J16="","",IFERROR(LOOKUP(2,1/(Purchases!$H$3:$H$2002=J16),Purchases!$F$3:$F$2002),"")))</f>
        <v>352</v>
      </c>
      <c r="G16" s="24">
        <f t="shared" si="0"/>
        <v>1460</v>
      </c>
      <c r="H16" s="24">
        <f t="shared" si="1"/>
        <v>1408</v>
      </c>
      <c r="I16" s="24">
        <f t="shared" si="2"/>
        <v>52</v>
      </c>
      <c r="J16" s="24" t="str">
        <f t="shared" si="3"/>
        <v>Abor Feed|LM</v>
      </c>
      <c r="K16" s="24" t="s">
        <v>116</v>
      </c>
    </row>
    <row r="17" spans="1:11">
      <c r="A17" s="27">
        <v>46116</v>
      </c>
      <c r="B17" s="24" t="s">
        <v>16</v>
      </c>
      <c r="C17" s="24" t="s">
        <v>13</v>
      </c>
      <c r="D17" s="24">
        <v>7</v>
      </c>
      <c r="E17" s="24">
        <v>365</v>
      </c>
      <c r="F17" s="24">
        <f>IF(B17="Egg Shop","",IF(J17="","",IFERROR(LOOKUP(2,1/(Purchases!$H$3:$H$2002=J17),Purchases!$F$3:$F$2002),"")))</f>
        <v>352</v>
      </c>
      <c r="G17" s="24">
        <f t="shared" si="0"/>
        <v>2555</v>
      </c>
      <c r="H17" s="24">
        <f t="shared" si="1"/>
        <v>2464</v>
      </c>
      <c r="I17" s="24">
        <f t="shared" si="2"/>
        <v>91</v>
      </c>
      <c r="J17" s="24" t="str">
        <f t="shared" si="3"/>
        <v>Abor Feed|LM</v>
      </c>
      <c r="K17" s="24" t="s">
        <v>116</v>
      </c>
    </row>
    <row r="18" spans="1:11">
      <c r="A18" s="27">
        <v>46118</v>
      </c>
      <c r="B18" s="24" t="s">
        <v>16</v>
      </c>
      <c r="C18" s="24" t="s">
        <v>13</v>
      </c>
      <c r="D18" s="24">
        <v>2</v>
      </c>
      <c r="E18" s="24">
        <v>365</v>
      </c>
      <c r="F18" s="24">
        <f>IF(B18="Egg Shop","",IF(J18="","",IFERROR(LOOKUP(2,1/(Purchases!$H$3:$H$2002=J18),Purchases!$F$3:$F$2002),"")))</f>
        <v>352</v>
      </c>
      <c r="G18" s="24">
        <f t="shared" si="0"/>
        <v>730</v>
      </c>
      <c r="H18" s="24">
        <f t="shared" si="1"/>
        <v>704</v>
      </c>
      <c r="I18" s="24">
        <f t="shared" si="2"/>
        <v>26</v>
      </c>
      <c r="J18" s="24" t="str">
        <f t="shared" si="3"/>
        <v>Abor Feed|LM</v>
      </c>
      <c r="K18" s="24" t="s">
        <v>116</v>
      </c>
    </row>
    <row r="19" spans="1:11">
      <c r="A19" s="27">
        <v>46121</v>
      </c>
      <c r="B19" s="24" t="s">
        <v>16</v>
      </c>
      <c r="C19" s="24" t="s">
        <v>13</v>
      </c>
      <c r="D19" s="24">
        <v>1</v>
      </c>
      <c r="E19" s="24">
        <v>365</v>
      </c>
      <c r="F19" s="24">
        <f>IF(B19="Egg Shop","",IF(J19="","",IFERROR(LOOKUP(2,1/(Purchases!$H$3:$H$2002=J19),Purchases!$F$3:$F$2002),"")))</f>
        <v>352</v>
      </c>
      <c r="G19" s="24">
        <f t="shared" si="0"/>
        <v>365</v>
      </c>
      <c r="H19" s="24">
        <f t="shared" si="1"/>
        <v>352</v>
      </c>
      <c r="I19" s="24">
        <f t="shared" si="2"/>
        <v>13</v>
      </c>
      <c r="J19" s="24" t="str">
        <f t="shared" si="3"/>
        <v>Abor Feed|LM</v>
      </c>
      <c r="K19" s="24" t="s">
        <v>116</v>
      </c>
    </row>
    <row r="20" spans="1:11">
      <c r="A20" s="27">
        <v>46122</v>
      </c>
      <c r="B20" s="24" t="s">
        <v>16</v>
      </c>
      <c r="C20" s="24" t="s">
        <v>13</v>
      </c>
      <c r="D20" s="24">
        <v>0</v>
      </c>
      <c r="E20" s="24">
        <v>365</v>
      </c>
      <c r="F20" s="24">
        <f>IF(B20="Egg Shop","",IF(J20="","",IFERROR(LOOKUP(2,1/(Purchases!$H$3:$H$2002=J20),Purchases!$F$3:$F$2002),"")))</f>
        <v>352</v>
      </c>
      <c r="G20" s="24">
        <f t="shared" si="0"/>
        <v>0</v>
      </c>
      <c r="H20" s="24">
        <f t="shared" si="1"/>
        <v>0</v>
      </c>
      <c r="I20" s="24">
        <f t="shared" si="2"/>
        <v>0</v>
      </c>
      <c r="J20" s="24" t="str">
        <f t="shared" si="3"/>
        <v>Abor Feed|LM</v>
      </c>
      <c r="K20" s="24" t="s">
        <v>116</v>
      </c>
    </row>
    <row r="21" spans="1:11">
      <c r="A21" s="27">
        <v>46120</v>
      </c>
      <c r="B21" s="24" t="s">
        <v>20</v>
      </c>
      <c r="C21" s="24" t="s">
        <v>13</v>
      </c>
      <c r="D21" s="24">
        <v>75</v>
      </c>
      <c r="E21" s="24">
        <v>357</v>
      </c>
      <c r="F21" s="24">
        <f>IF(B21="Egg Shop","",IF(J21="","",IFERROR(LOOKUP(2,1/(Purchases!$H$3:$H$2002=J21),Purchases!$F$3:$F$2002),"")))</f>
        <v>352</v>
      </c>
      <c r="G21" s="24">
        <f t="shared" si="0"/>
        <v>26775</v>
      </c>
      <c r="H21" s="24">
        <f t="shared" si="1"/>
        <v>26400</v>
      </c>
      <c r="I21" s="24">
        <f t="shared" si="2"/>
        <v>375</v>
      </c>
      <c r="J21" s="24" t="str">
        <f t="shared" si="3"/>
        <v>Mobile Shop|LM</v>
      </c>
      <c r="K21" s="24" t="s">
        <v>116</v>
      </c>
    </row>
    <row r="22" spans="1:11">
      <c r="A22" s="27">
        <v>46120</v>
      </c>
      <c r="B22" s="24" t="s">
        <v>20</v>
      </c>
      <c r="C22" s="24" t="s">
        <v>17</v>
      </c>
      <c r="D22" s="24">
        <v>2</v>
      </c>
      <c r="E22" s="24">
        <v>345</v>
      </c>
      <c r="F22" s="24">
        <f>IF(B22="Egg Shop","",IF(J22="","",IFERROR(LOOKUP(2,1/(Purchases!$H$3:$H$2002=J22),Purchases!$F$3:$F$2002),"")))</f>
        <v>340</v>
      </c>
      <c r="G22" s="24">
        <f t="shared" si="0"/>
        <v>690</v>
      </c>
      <c r="H22" s="24">
        <f t="shared" si="1"/>
        <v>680</v>
      </c>
      <c r="I22" s="24">
        <f t="shared" si="2"/>
        <v>10</v>
      </c>
      <c r="J22" s="24" t="str">
        <f t="shared" si="3"/>
        <v>Mobile Shop|GM</v>
      </c>
      <c r="K22" s="24" t="s">
        <v>116</v>
      </c>
    </row>
    <row r="23" spans="1:11">
      <c r="A23" s="27">
        <v>46120</v>
      </c>
      <c r="B23" s="24" t="s">
        <v>20</v>
      </c>
      <c r="C23" s="24" t="s">
        <v>21</v>
      </c>
      <c r="D23" s="24">
        <v>0</v>
      </c>
      <c r="E23" s="24">
        <v>362</v>
      </c>
      <c r="F23" s="24">
        <f>IF(B23="Egg Shop","",IF(J23="","",IFERROR(LOOKUP(2,1/(Purchases!$H$3:$H$2002=J23),Purchases!$F$3:$F$2002),"")))</f>
        <v>357</v>
      </c>
      <c r="G23" s="24">
        <f t="shared" si="0"/>
        <v>0</v>
      </c>
      <c r="H23" s="24">
        <f t="shared" si="1"/>
        <v>0</v>
      </c>
      <c r="I23" s="24">
        <f t="shared" si="2"/>
        <v>0</v>
      </c>
      <c r="J23" s="24" t="str">
        <f t="shared" si="3"/>
        <v>Mobile Shop|CM</v>
      </c>
      <c r="K23" s="24" t="s">
        <v>116</v>
      </c>
    </row>
    <row r="24" spans="1:11">
      <c r="A24" s="27">
        <v>46120</v>
      </c>
      <c r="B24" s="24" t="s">
        <v>20</v>
      </c>
      <c r="C24" s="24" t="s">
        <v>28</v>
      </c>
      <c r="D24" s="24">
        <v>0</v>
      </c>
      <c r="E24" s="24">
        <v>750</v>
      </c>
      <c r="F24" s="24">
        <f>IF(B24="Egg Shop","",IF(J24="","",IFERROR(LOOKUP(2,1/(Purchases!$H$3:$H$2002=J24),Purchases!$F$3:$F$2002),"")))</f>
        <v>730</v>
      </c>
      <c r="G24" s="24">
        <f t="shared" si="0"/>
        <v>0</v>
      </c>
      <c r="H24" s="24">
        <f t="shared" si="1"/>
        <v>0</v>
      </c>
      <c r="I24" s="24">
        <f t="shared" si="2"/>
        <v>0</v>
      </c>
      <c r="J24" s="24" t="str">
        <f t="shared" si="3"/>
        <v>Mobile Shop|Hend 5%</v>
      </c>
      <c r="K24" s="24" t="s">
        <v>116</v>
      </c>
    </row>
    <row r="25" spans="1:11">
      <c r="A25" s="27">
        <v>46119</v>
      </c>
      <c r="B25" s="24" t="s">
        <v>12</v>
      </c>
      <c r="C25" s="24" t="s">
        <v>13</v>
      </c>
      <c r="D25" s="24">
        <v>5</v>
      </c>
      <c r="E25" s="24">
        <v>365</v>
      </c>
      <c r="F25" s="24">
        <f>IF(B25="Egg Shop","",IF(J25="","",IFERROR(LOOKUP(2,1/(Purchases!$H$3:$H$2002=J25),Purchases!$F$3:$F$2002),"")))</f>
        <v>352</v>
      </c>
      <c r="G25" s="24">
        <f t="shared" si="0"/>
        <v>1825</v>
      </c>
      <c r="H25" s="24">
        <f t="shared" si="1"/>
        <v>1760</v>
      </c>
      <c r="I25" s="24">
        <f t="shared" si="2"/>
        <v>65</v>
      </c>
      <c r="J25" s="24" t="str">
        <f t="shared" si="3"/>
        <v>Akatsi Feed|LM</v>
      </c>
      <c r="K25" s="24" t="s">
        <v>116</v>
      </c>
    </row>
    <row r="26" spans="1:11">
      <c r="A26" s="27">
        <v>46119</v>
      </c>
      <c r="B26" s="24" t="s">
        <v>12</v>
      </c>
      <c r="C26" s="24" t="s">
        <v>17</v>
      </c>
      <c r="D26" s="24">
        <v>1</v>
      </c>
      <c r="E26" s="24">
        <v>350</v>
      </c>
      <c r="F26" s="24">
        <f>IF(B26="Egg Shop","",IF(J26="","",IFERROR(LOOKUP(2,1/(Purchases!$H$3:$H$2002=J26),Purchases!$F$3:$F$2002),"")))</f>
        <v>340</v>
      </c>
      <c r="G26" s="24">
        <f t="shared" si="0"/>
        <v>350</v>
      </c>
      <c r="H26" s="24">
        <f t="shared" si="1"/>
        <v>340</v>
      </c>
      <c r="I26" s="24">
        <f t="shared" si="2"/>
        <v>10</v>
      </c>
      <c r="J26" s="24" t="str">
        <f t="shared" si="3"/>
        <v>Akatsi Feed|GM</v>
      </c>
      <c r="K26" s="24" t="s">
        <v>116</v>
      </c>
    </row>
    <row r="27" spans="1:11">
      <c r="A27" s="27">
        <v>46119</v>
      </c>
      <c r="B27" s="24" t="s">
        <v>12</v>
      </c>
      <c r="C27" s="24" t="s">
        <v>21</v>
      </c>
      <c r="D27" s="24">
        <v>7</v>
      </c>
      <c r="E27" s="24">
        <v>370</v>
      </c>
      <c r="F27" s="24">
        <f>IF(B27="Egg Shop","",IF(J27="","",IFERROR(LOOKUP(2,1/(Purchases!$H$3:$H$2002=J27),Purchases!$F$3:$F$2002),"")))</f>
        <v>357</v>
      </c>
      <c r="G27" s="24">
        <f t="shared" si="0"/>
        <v>2590</v>
      </c>
      <c r="H27" s="24">
        <f t="shared" si="1"/>
        <v>2499</v>
      </c>
      <c r="I27" s="24">
        <f t="shared" si="2"/>
        <v>91</v>
      </c>
      <c r="J27" s="24" t="str">
        <f t="shared" si="3"/>
        <v>Akatsi Feed|CM</v>
      </c>
      <c r="K27" s="24" t="s">
        <v>116</v>
      </c>
    </row>
    <row r="28" spans="1:11">
      <c r="A28" s="27">
        <v>46119</v>
      </c>
      <c r="B28" s="24" t="s">
        <v>12</v>
      </c>
      <c r="C28" s="24" t="s">
        <v>33</v>
      </c>
      <c r="D28" s="24">
        <v>2</v>
      </c>
      <c r="E28" s="24">
        <v>90</v>
      </c>
      <c r="F28" s="24">
        <f>IF(B28="Egg Shop","",IF(J28="","",IFERROR(LOOKUP(2,1/(Purchases!$H$3:$H$2002=J28),Purchases!$F$3:$F$2002),"")))</f>
        <v>80</v>
      </c>
      <c r="G28" s="24">
        <f t="shared" si="0"/>
        <v>180</v>
      </c>
      <c r="H28" s="24">
        <f t="shared" si="1"/>
        <v>160</v>
      </c>
      <c r="I28" s="24">
        <f t="shared" si="2"/>
        <v>20</v>
      </c>
      <c r="J28" s="24" t="str">
        <f t="shared" si="3"/>
        <v>Akatsi Feed|Crates</v>
      </c>
      <c r="K28" s="24" t="s">
        <v>116</v>
      </c>
    </row>
    <row r="29" spans="1:11">
      <c r="A29" s="27">
        <v>46120</v>
      </c>
      <c r="B29" s="24" t="s">
        <v>12</v>
      </c>
      <c r="C29" s="24" t="s">
        <v>13</v>
      </c>
      <c r="D29" s="24">
        <v>9</v>
      </c>
      <c r="E29" s="24">
        <v>365</v>
      </c>
      <c r="F29" s="24">
        <f>IF(B29="Egg Shop","",IF(J29="","",IFERROR(LOOKUP(2,1/(Purchases!$H$3:$H$2002=J29),Purchases!$F$3:$F$2002),"")))</f>
        <v>352</v>
      </c>
      <c r="G29" s="24">
        <f t="shared" si="0"/>
        <v>3285</v>
      </c>
      <c r="H29" s="24">
        <f t="shared" si="1"/>
        <v>3168</v>
      </c>
      <c r="I29" s="24">
        <f t="shared" si="2"/>
        <v>117</v>
      </c>
      <c r="J29" s="24" t="str">
        <f t="shared" si="3"/>
        <v>Akatsi Feed|LM</v>
      </c>
      <c r="K29" s="24" t="s">
        <v>116</v>
      </c>
    </row>
    <row r="30" spans="1:11">
      <c r="A30" s="27">
        <v>46120</v>
      </c>
      <c r="B30" s="24" t="s">
        <v>12</v>
      </c>
      <c r="C30" s="24" t="s">
        <v>17</v>
      </c>
      <c r="D30" s="24">
        <v>1</v>
      </c>
      <c r="E30" s="24">
        <v>350</v>
      </c>
      <c r="F30" s="24">
        <f>IF(B30="Egg Shop","",IF(J30="","",IFERROR(LOOKUP(2,1/(Purchases!$H$3:$H$2002=J30),Purchases!$F$3:$F$2002),"")))</f>
        <v>340</v>
      </c>
      <c r="G30" s="24">
        <f t="shared" si="0"/>
        <v>350</v>
      </c>
      <c r="H30" s="24">
        <f t="shared" si="1"/>
        <v>340</v>
      </c>
      <c r="I30" s="24">
        <f t="shared" si="2"/>
        <v>10</v>
      </c>
      <c r="J30" s="24" t="str">
        <f t="shared" si="3"/>
        <v>Akatsi Feed|GM</v>
      </c>
      <c r="K30" s="24" t="s">
        <v>116</v>
      </c>
    </row>
    <row r="31" spans="1:11">
      <c r="A31" s="27">
        <v>46120</v>
      </c>
      <c r="B31" s="24" t="s">
        <v>12</v>
      </c>
      <c r="C31" s="24" t="s">
        <v>21</v>
      </c>
      <c r="D31" s="24">
        <v>0</v>
      </c>
      <c r="E31" s="24">
        <v>370</v>
      </c>
      <c r="F31" s="24">
        <f>IF(B31="Egg Shop","",IF(J31="","",IFERROR(LOOKUP(2,1/(Purchases!$H$3:$H$2002=J31),Purchases!$F$3:$F$2002),"")))</f>
        <v>357</v>
      </c>
      <c r="G31" s="24">
        <f t="shared" si="0"/>
        <v>0</v>
      </c>
      <c r="H31" s="24">
        <f t="shared" si="1"/>
        <v>0</v>
      </c>
      <c r="I31" s="24">
        <f t="shared" si="2"/>
        <v>0</v>
      </c>
      <c r="J31" s="24" t="str">
        <f t="shared" si="3"/>
        <v>Akatsi Feed|CM</v>
      </c>
      <c r="K31" s="24" t="s">
        <v>116</v>
      </c>
    </row>
    <row r="32" spans="1:11">
      <c r="A32" s="27">
        <v>46120</v>
      </c>
      <c r="B32" s="24" t="s">
        <v>12</v>
      </c>
      <c r="C32" s="24" t="s">
        <v>33</v>
      </c>
      <c r="D32" s="24">
        <v>2</v>
      </c>
      <c r="E32" s="24">
        <v>90</v>
      </c>
      <c r="F32" s="24">
        <f>IF(B32="Egg Shop","",IF(J32="","",IFERROR(LOOKUP(2,1/(Purchases!$H$3:$H$2002=J32),Purchases!$F$3:$F$2002),"")))</f>
        <v>80</v>
      </c>
      <c r="G32" s="24">
        <f t="shared" si="0"/>
        <v>180</v>
      </c>
      <c r="H32" s="24">
        <f t="shared" si="1"/>
        <v>160</v>
      </c>
      <c r="I32" s="24">
        <f t="shared" si="2"/>
        <v>20</v>
      </c>
      <c r="J32" s="24" t="str">
        <f t="shared" si="3"/>
        <v>Akatsi Feed|Crates</v>
      </c>
      <c r="K32" s="24" t="s">
        <v>116</v>
      </c>
    </row>
    <row r="33" spans="1:11">
      <c r="A33" s="27">
        <v>46121</v>
      </c>
      <c r="B33" s="24" t="s">
        <v>12</v>
      </c>
      <c r="C33" s="24" t="s">
        <v>13</v>
      </c>
      <c r="D33" s="24">
        <v>2</v>
      </c>
      <c r="E33" s="24">
        <v>365</v>
      </c>
      <c r="F33" s="24">
        <f>IF(B33="Egg Shop","",IF(J33="","",IFERROR(LOOKUP(2,1/(Purchases!$H$3:$H$2002=J33),Purchases!$F$3:$F$2002),"")))</f>
        <v>352</v>
      </c>
      <c r="G33" s="24">
        <f t="shared" si="0"/>
        <v>730</v>
      </c>
      <c r="H33" s="24">
        <f t="shared" si="1"/>
        <v>704</v>
      </c>
      <c r="I33" s="24">
        <f t="shared" si="2"/>
        <v>26</v>
      </c>
      <c r="J33" s="24" t="str">
        <f t="shared" si="3"/>
        <v>Akatsi Feed|LM</v>
      </c>
      <c r="K33" s="24" t="s">
        <v>116</v>
      </c>
    </row>
    <row r="34" spans="1:11">
      <c r="A34" s="27">
        <v>46121</v>
      </c>
      <c r="B34" s="24" t="s">
        <v>12</v>
      </c>
      <c r="C34" s="24" t="s">
        <v>17</v>
      </c>
      <c r="D34" s="24">
        <v>0</v>
      </c>
      <c r="E34" s="24">
        <v>350</v>
      </c>
      <c r="F34" s="24">
        <f>IF(B34="Egg Shop","",IF(J34="","",IFERROR(LOOKUP(2,1/(Purchases!$H$3:$H$2002=J34),Purchases!$F$3:$F$2002),"")))</f>
        <v>340</v>
      </c>
      <c r="G34" s="24">
        <f t="shared" si="0"/>
        <v>0</v>
      </c>
      <c r="H34" s="24">
        <f t="shared" si="1"/>
        <v>0</v>
      </c>
      <c r="I34" s="24">
        <f t="shared" si="2"/>
        <v>0</v>
      </c>
      <c r="J34" s="24" t="str">
        <f t="shared" si="3"/>
        <v>Akatsi Feed|GM</v>
      </c>
      <c r="K34" s="24" t="s">
        <v>116</v>
      </c>
    </row>
    <row r="35" spans="1:11">
      <c r="A35" s="27">
        <v>46121</v>
      </c>
      <c r="B35" s="24" t="s">
        <v>12</v>
      </c>
      <c r="C35" s="24" t="s">
        <v>21</v>
      </c>
      <c r="D35" s="24">
        <v>1</v>
      </c>
      <c r="E35" s="24">
        <v>370</v>
      </c>
      <c r="F35" s="24">
        <f>IF(B35="Egg Shop","",IF(J35="","",IFERROR(LOOKUP(2,1/(Purchases!$H$3:$H$2002=J35),Purchases!$F$3:$F$2002),"")))</f>
        <v>357</v>
      </c>
      <c r="G35" s="24">
        <f t="shared" si="0"/>
        <v>370</v>
      </c>
      <c r="H35" s="24">
        <f t="shared" si="1"/>
        <v>357</v>
      </c>
      <c r="I35" s="24">
        <f t="shared" si="2"/>
        <v>13</v>
      </c>
      <c r="J35" s="24" t="str">
        <f t="shared" si="3"/>
        <v>Akatsi Feed|CM</v>
      </c>
      <c r="K35" s="24" t="s">
        <v>116</v>
      </c>
    </row>
    <row r="36" spans="1:11">
      <c r="A36" s="27">
        <v>46121</v>
      </c>
      <c r="B36" s="24" t="s">
        <v>12</v>
      </c>
      <c r="C36" s="24" t="s">
        <v>33</v>
      </c>
      <c r="D36" s="24">
        <v>2</v>
      </c>
      <c r="E36" s="24">
        <v>90</v>
      </c>
      <c r="F36" s="24">
        <f>IF(B36="Egg Shop","",IF(J36="","",IFERROR(LOOKUP(2,1/(Purchases!$H$3:$H$2002=J36),Purchases!$F$3:$F$2002),"")))</f>
        <v>80</v>
      </c>
      <c r="G36" s="24">
        <f t="shared" si="0"/>
        <v>180</v>
      </c>
      <c r="H36" s="24">
        <f t="shared" si="1"/>
        <v>160</v>
      </c>
      <c r="I36" s="24">
        <f t="shared" si="2"/>
        <v>20</v>
      </c>
      <c r="J36" s="24" t="str">
        <f t="shared" si="3"/>
        <v>Akatsi Feed|Crates</v>
      </c>
      <c r="K36" s="24" t="s">
        <v>116</v>
      </c>
    </row>
    <row r="37" spans="1:11">
      <c r="A37" s="27">
        <v>46122</v>
      </c>
      <c r="B37" s="24" t="s">
        <v>12</v>
      </c>
      <c r="C37" s="24" t="s">
        <v>13</v>
      </c>
      <c r="D37" s="24">
        <v>7</v>
      </c>
      <c r="E37" s="24">
        <v>365</v>
      </c>
      <c r="F37" s="24">
        <f>IF(B37="Egg Shop","",IF(J37="","",IFERROR(LOOKUP(2,1/(Purchases!$H$3:$H$2002=J37),Purchases!$F$3:$F$2002),"")))</f>
        <v>352</v>
      </c>
      <c r="G37" s="24">
        <f t="shared" si="0"/>
        <v>2555</v>
      </c>
      <c r="H37" s="24">
        <f t="shared" si="1"/>
        <v>2464</v>
      </c>
      <c r="I37" s="24">
        <f t="shared" si="2"/>
        <v>91</v>
      </c>
      <c r="J37" s="24" t="str">
        <f t="shared" si="3"/>
        <v>Akatsi Feed|LM</v>
      </c>
      <c r="K37" s="24" t="s">
        <v>116</v>
      </c>
    </row>
    <row r="38" spans="1:11">
      <c r="A38" s="27">
        <v>46122</v>
      </c>
      <c r="B38" s="24" t="s">
        <v>12</v>
      </c>
      <c r="C38" s="24" t="s">
        <v>17</v>
      </c>
      <c r="D38" s="24">
        <v>0</v>
      </c>
      <c r="E38" s="24">
        <v>350</v>
      </c>
      <c r="F38" s="24">
        <f>IF(B38="Egg Shop","",IF(J38="","",IFERROR(LOOKUP(2,1/(Purchases!$H$3:$H$2002=J38),Purchases!$F$3:$F$2002),"")))</f>
        <v>340</v>
      </c>
      <c r="G38" s="24">
        <f t="shared" si="0"/>
        <v>0</v>
      </c>
      <c r="H38" s="24">
        <f t="shared" si="1"/>
        <v>0</v>
      </c>
      <c r="I38" s="24">
        <f t="shared" si="2"/>
        <v>0</v>
      </c>
      <c r="J38" s="24" t="str">
        <f t="shared" si="3"/>
        <v>Akatsi Feed|GM</v>
      </c>
      <c r="K38" s="24" t="s">
        <v>116</v>
      </c>
    </row>
    <row r="39" spans="1:11">
      <c r="A39" s="27">
        <v>46122</v>
      </c>
      <c r="B39" s="24" t="s">
        <v>12</v>
      </c>
      <c r="C39" s="24" t="s">
        <v>21</v>
      </c>
      <c r="D39" s="24">
        <v>1</v>
      </c>
      <c r="E39" s="24">
        <v>370</v>
      </c>
      <c r="F39" s="24">
        <f>IF(B39="Egg Shop","",IF(J39="","",IFERROR(LOOKUP(2,1/(Purchases!$H$3:$H$2002=J39),Purchases!$F$3:$F$2002),"")))</f>
        <v>357</v>
      </c>
      <c r="G39" s="24">
        <f t="shared" si="0"/>
        <v>370</v>
      </c>
      <c r="H39" s="24">
        <f t="shared" si="1"/>
        <v>357</v>
      </c>
      <c r="I39" s="24">
        <f t="shared" si="2"/>
        <v>13</v>
      </c>
      <c r="J39" s="24" t="str">
        <f t="shared" si="3"/>
        <v>Akatsi Feed|CM</v>
      </c>
      <c r="K39" s="24" t="s">
        <v>116</v>
      </c>
    </row>
    <row r="40" spans="1:11">
      <c r="A40" s="27">
        <v>46122</v>
      </c>
      <c r="B40" s="24" t="s">
        <v>12</v>
      </c>
      <c r="C40" s="24" t="s">
        <v>33</v>
      </c>
      <c r="D40" s="24">
        <v>0</v>
      </c>
      <c r="E40" s="24">
        <v>90</v>
      </c>
      <c r="F40" s="24">
        <f>IF(B40="Egg Shop","",IF(J40="","",IFERROR(LOOKUP(2,1/(Purchases!$H$3:$H$2002=J40),Purchases!$F$3:$F$2002),"")))</f>
        <v>80</v>
      </c>
      <c r="G40" s="24">
        <f t="shared" si="0"/>
        <v>0</v>
      </c>
      <c r="H40" s="24">
        <f t="shared" si="1"/>
        <v>0</v>
      </c>
      <c r="I40" s="24">
        <f t="shared" si="2"/>
        <v>0</v>
      </c>
      <c r="J40" s="24" t="str">
        <f t="shared" si="3"/>
        <v>Akatsi Feed|Crates</v>
      </c>
      <c r="K40" s="24" t="s">
        <v>116</v>
      </c>
    </row>
    <row r="41" spans="1:11">
      <c r="A41" s="27">
        <v>46113</v>
      </c>
      <c r="B41" s="24" t="s">
        <v>24</v>
      </c>
      <c r="C41" s="24" t="s">
        <v>18</v>
      </c>
      <c r="D41" s="24">
        <v>0</v>
      </c>
      <c r="E41" s="24">
        <v>60</v>
      </c>
      <c r="F41" s="24">
        <v>60</v>
      </c>
      <c r="G41" s="24">
        <f t="shared" si="0"/>
        <v>0</v>
      </c>
      <c r="H41" s="24">
        <f t="shared" si="1"/>
        <v>0</v>
      </c>
      <c r="I41" s="24">
        <f t="shared" si="2"/>
        <v>0</v>
      </c>
      <c r="J41" s="24" t="str">
        <f t="shared" si="3"/>
        <v>Egg Shop|Large</v>
      </c>
      <c r="K41" s="24" t="s">
        <v>116</v>
      </c>
    </row>
    <row r="42" spans="1:11">
      <c r="A42" s="27">
        <v>46113</v>
      </c>
      <c r="B42" s="24" t="s">
        <v>24</v>
      </c>
      <c r="C42" s="24" t="s">
        <v>22</v>
      </c>
      <c r="D42" s="24">
        <v>10</v>
      </c>
      <c r="E42" s="24">
        <v>58</v>
      </c>
      <c r="F42" s="24">
        <v>58</v>
      </c>
      <c r="G42" s="24">
        <f t="shared" si="0"/>
        <v>580</v>
      </c>
      <c r="H42" s="24">
        <f t="shared" si="1"/>
        <v>580</v>
      </c>
      <c r="I42" s="24">
        <f t="shared" si="2"/>
        <v>0</v>
      </c>
      <c r="J42" s="24" t="str">
        <f t="shared" si="3"/>
        <v>Egg Shop|Medium</v>
      </c>
      <c r="K42" s="24" t="s">
        <v>116</v>
      </c>
    </row>
    <row r="43" spans="1:11">
      <c r="A43" s="27">
        <v>46113</v>
      </c>
      <c r="B43" s="24" t="s">
        <v>24</v>
      </c>
      <c r="C43" s="24" t="s">
        <v>26</v>
      </c>
      <c r="D43" s="24">
        <v>0</v>
      </c>
      <c r="E43" s="24">
        <v>55</v>
      </c>
      <c r="F43" s="24">
        <v>55</v>
      </c>
      <c r="G43" s="24">
        <f t="shared" si="0"/>
        <v>0</v>
      </c>
      <c r="H43" s="24">
        <f t="shared" si="1"/>
        <v>0</v>
      </c>
      <c r="I43" s="24">
        <f t="shared" si="2"/>
        <v>0</v>
      </c>
      <c r="J43" s="24" t="str">
        <f t="shared" si="3"/>
        <v>Egg Shop|Small</v>
      </c>
      <c r="K43" s="24" t="s">
        <v>116</v>
      </c>
    </row>
    <row r="44" spans="1:11">
      <c r="A44" s="27">
        <v>46113</v>
      </c>
      <c r="B44" s="24" t="s">
        <v>24</v>
      </c>
      <c r="C44" s="24" t="s">
        <v>29</v>
      </c>
      <c r="D44" s="24">
        <v>4</v>
      </c>
      <c r="E44" s="24">
        <v>40</v>
      </c>
      <c r="F44" s="24">
        <v>40</v>
      </c>
      <c r="G44" s="24">
        <f t="shared" si="0"/>
        <v>160</v>
      </c>
      <c r="H44" s="24">
        <f t="shared" si="1"/>
        <v>160</v>
      </c>
      <c r="I44" s="24">
        <f t="shared" si="2"/>
        <v>0</v>
      </c>
      <c r="J44" s="24" t="str">
        <f t="shared" si="3"/>
        <v>Egg Shop|Pullet 1</v>
      </c>
      <c r="K44" s="24" t="s">
        <v>116</v>
      </c>
    </row>
    <row r="45" spans="1:11">
      <c r="A45" s="27">
        <v>46113</v>
      </c>
      <c r="B45" s="24" t="s">
        <v>24</v>
      </c>
      <c r="C45" s="24" t="s">
        <v>31</v>
      </c>
      <c r="D45" s="24">
        <v>0</v>
      </c>
      <c r="E45" s="24">
        <v>35</v>
      </c>
      <c r="F45" s="24">
        <v>35</v>
      </c>
      <c r="G45" s="24">
        <f t="shared" si="0"/>
        <v>0</v>
      </c>
      <c r="H45" s="24">
        <f t="shared" si="1"/>
        <v>0</v>
      </c>
      <c r="I45" s="24">
        <f t="shared" si="2"/>
        <v>0</v>
      </c>
      <c r="J45" s="24" t="str">
        <f t="shared" si="3"/>
        <v>Egg Shop|Pullet 2</v>
      </c>
      <c r="K45" s="24" t="s">
        <v>116</v>
      </c>
    </row>
    <row r="46" spans="1:11">
      <c r="A46" s="27">
        <v>46113</v>
      </c>
      <c r="B46" s="24" t="s">
        <v>24</v>
      </c>
      <c r="C46" s="24" t="s">
        <v>34</v>
      </c>
      <c r="D46" s="24">
        <v>2</v>
      </c>
      <c r="E46" s="24">
        <v>30</v>
      </c>
      <c r="F46" s="24">
        <v>30</v>
      </c>
      <c r="G46" s="24">
        <f t="shared" si="0"/>
        <v>60</v>
      </c>
      <c r="H46" s="24">
        <f t="shared" si="1"/>
        <v>60</v>
      </c>
      <c r="I46" s="24">
        <f t="shared" si="2"/>
        <v>0</v>
      </c>
      <c r="J46" s="24" t="str">
        <f t="shared" si="3"/>
        <v>Egg Shop|Broken</v>
      </c>
      <c r="K46" s="24" t="s">
        <v>116</v>
      </c>
    </row>
    <row r="47" spans="1:11">
      <c r="A47" s="27">
        <v>46114</v>
      </c>
      <c r="B47" s="24" t="s">
        <v>24</v>
      </c>
      <c r="C47" s="24" t="s">
        <v>26</v>
      </c>
      <c r="D47" s="24">
        <v>4</v>
      </c>
      <c r="E47" s="24">
        <v>55</v>
      </c>
      <c r="F47" s="24">
        <v>55</v>
      </c>
      <c r="G47" s="24">
        <f t="shared" si="0"/>
        <v>220</v>
      </c>
      <c r="H47" s="24">
        <f t="shared" si="1"/>
        <v>220</v>
      </c>
      <c r="I47" s="24">
        <f t="shared" si="2"/>
        <v>0</v>
      </c>
      <c r="J47" s="24" t="str">
        <f t="shared" si="3"/>
        <v>Egg Shop|Small</v>
      </c>
      <c r="K47" s="24" t="s">
        <v>116</v>
      </c>
    </row>
    <row r="48" spans="1:11">
      <c r="A48" s="27">
        <v>46114</v>
      </c>
      <c r="B48" s="24" t="s">
        <v>24</v>
      </c>
      <c r="C48" s="24" t="s">
        <v>29</v>
      </c>
      <c r="D48" s="24">
        <v>1</v>
      </c>
      <c r="E48" s="24">
        <v>40</v>
      </c>
      <c r="F48" s="24">
        <v>40</v>
      </c>
      <c r="G48" s="24">
        <f t="shared" si="0"/>
        <v>40</v>
      </c>
      <c r="H48" s="24">
        <f t="shared" si="1"/>
        <v>40</v>
      </c>
      <c r="I48" s="24">
        <f t="shared" si="2"/>
        <v>0</v>
      </c>
      <c r="J48" s="24" t="str">
        <f t="shared" si="3"/>
        <v>Egg Shop|Pullet 1</v>
      </c>
      <c r="K48" s="24" t="s">
        <v>116</v>
      </c>
    </row>
    <row r="49" spans="1:11">
      <c r="A49" s="27">
        <v>46115</v>
      </c>
      <c r="B49" s="24" t="s">
        <v>24</v>
      </c>
      <c r="C49" s="24" t="s">
        <v>18</v>
      </c>
      <c r="D49" s="24">
        <v>13</v>
      </c>
      <c r="E49" s="24">
        <v>60</v>
      </c>
      <c r="F49" s="24">
        <v>60</v>
      </c>
      <c r="G49" s="24">
        <f t="shared" si="0"/>
        <v>780</v>
      </c>
      <c r="H49" s="24">
        <f t="shared" si="1"/>
        <v>780</v>
      </c>
      <c r="I49" s="24">
        <f t="shared" si="2"/>
        <v>0</v>
      </c>
      <c r="J49" s="24" t="str">
        <f t="shared" si="3"/>
        <v>Egg Shop|Large</v>
      </c>
      <c r="K49" s="24" t="s">
        <v>116</v>
      </c>
    </row>
    <row r="50" spans="1:11">
      <c r="A50" s="27">
        <v>46115</v>
      </c>
      <c r="B50" s="24" t="s">
        <v>24</v>
      </c>
      <c r="C50" s="24" t="s">
        <v>22</v>
      </c>
      <c r="D50" s="24">
        <v>55</v>
      </c>
      <c r="E50" s="24">
        <v>58</v>
      </c>
      <c r="F50" s="24">
        <v>58</v>
      </c>
      <c r="G50" s="24">
        <f t="shared" si="0"/>
        <v>3190</v>
      </c>
      <c r="H50" s="24">
        <f t="shared" si="1"/>
        <v>3190</v>
      </c>
      <c r="I50" s="24">
        <f t="shared" si="2"/>
        <v>0</v>
      </c>
      <c r="J50" s="24" t="str">
        <f t="shared" si="3"/>
        <v>Egg Shop|Medium</v>
      </c>
      <c r="K50" s="24" t="s">
        <v>116</v>
      </c>
    </row>
    <row r="51" spans="1:11">
      <c r="A51" s="27">
        <v>46115</v>
      </c>
      <c r="B51" s="24" t="s">
        <v>24</v>
      </c>
      <c r="C51" s="24" t="s">
        <v>26</v>
      </c>
      <c r="D51" s="24">
        <v>85</v>
      </c>
      <c r="E51" s="24">
        <v>55</v>
      </c>
      <c r="F51" s="24">
        <v>55</v>
      </c>
      <c r="G51" s="24">
        <f t="shared" si="0"/>
        <v>4675</v>
      </c>
      <c r="H51" s="24">
        <f t="shared" si="1"/>
        <v>4675</v>
      </c>
      <c r="I51" s="24">
        <f t="shared" si="2"/>
        <v>0</v>
      </c>
      <c r="J51" s="24" t="str">
        <f t="shared" si="3"/>
        <v>Egg Shop|Small</v>
      </c>
      <c r="K51" s="24" t="s">
        <v>116</v>
      </c>
    </row>
    <row r="52" spans="1:11">
      <c r="A52" s="27">
        <v>46115</v>
      </c>
      <c r="B52" s="24" t="s">
        <v>24</v>
      </c>
      <c r="C52" s="24" t="s">
        <v>29</v>
      </c>
      <c r="D52" s="24">
        <v>126</v>
      </c>
      <c r="E52" s="24">
        <v>40</v>
      </c>
      <c r="F52" s="24">
        <v>40</v>
      </c>
      <c r="G52" s="24">
        <f t="shared" si="0"/>
        <v>5040</v>
      </c>
      <c r="H52" s="24">
        <f t="shared" si="1"/>
        <v>5040</v>
      </c>
      <c r="I52" s="24">
        <f t="shared" si="2"/>
        <v>0</v>
      </c>
      <c r="J52" s="24" t="str">
        <f t="shared" si="3"/>
        <v>Egg Shop|Pullet 1</v>
      </c>
      <c r="K52" s="24" t="s">
        <v>116</v>
      </c>
    </row>
    <row r="53" spans="1:11">
      <c r="A53" s="27">
        <v>46115</v>
      </c>
      <c r="B53" s="24" t="s">
        <v>24</v>
      </c>
      <c r="C53" s="24" t="s">
        <v>31</v>
      </c>
      <c r="D53" s="24">
        <v>45</v>
      </c>
      <c r="E53" s="24">
        <v>35</v>
      </c>
      <c r="F53" s="24">
        <v>35</v>
      </c>
      <c r="G53" s="24">
        <f t="shared" si="0"/>
        <v>1575</v>
      </c>
      <c r="H53" s="24">
        <f t="shared" si="1"/>
        <v>1575</v>
      </c>
      <c r="I53" s="24">
        <f t="shared" si="2"/>
        <v>0</v>
      </c>
      <c r="J53" s="24" t="str">
        <f t="shared" si="3"/>
        <v>Egg Shop|Pullet 2</v>
      </c>
      <c r="K53" s="24" t="s">
        <v>116</v>
      </c>
    </row>
    <row r="54" spans="1:11">
      <c r="A54" s="27">
        <v>46115</v>
      </c>
      <c r="B54" s="24" t="s">
        <v>24</v>
      </c>
      <c r="C54" s="24" t="s">
        <v>34</v>
      </c>
      <c r="D54" s="24">
        <v>0</v>
      </c>
      <c r="E54" s="24">
        <v>30</v>
      </c>
      <c r="F54" s="24">
        <v>30</v>
      </c>
      <c r="G54" s="24">
        <f t="shared" si="0"/>
        <v>0</v>
      </c>
      <c r="H54" s="24">
        <f t="shared" si="1"/>
        <v>0</v>
      </c>
      <c r="I54" s="24">
        <f t="shared" si="2"/>
        <v>0</v>
      </c>
      <c r="J54" s="24" t="str">
        <f t="shared" si="3"/>
        <v>Egg Shop|Broken</v>
      </c>
      <c r="K54" s="24" t="s">
        <v>116</v>
      </c>
    </row>
    <row r="55" spans="1:11">
      <c r="A55" s="27">
        <v>46117</v>
      </c>
      <c r="B55" s="24" t="s">
        <v>24</v>
      </c>
      <c r="C55" s="24" t="s">
        <v>34</v>
      </c>
      <c r="D55" s="24">
        <v>4</v>
      </c>
      <c r="E55" s="24">
        <v>30</v>
      </c>
      <c r="F55" s="24">
        <v>30</v>
      </c>
      <c r="G55" s="24">
        <f t="shared" si="0"/>
        <v>120</v>
      </c>
      <c r="H55" s="24">
        <f t="shared" si="1"/>
        <v>120</v>
      </c>
      <c r="I55" s="24">
        <f t="shared" si="2"/>
        <v>0</v>
      </c>
      <c r="J55" s="24" t="str">
        <f t="shared" si="3"/>
        <v>Egg Shop|Broken</v>
      </c>
      <c r="K55" s="24" t="s">
        <v>116</v>
      </c>
    </row>
    <row r="56" spans="1:11">
      <c r="A56" s="27">
        <v>46118</v>
      </c>
      <c r="B56" s="24" t="s">
        <v>24</v>
      </c>
      <c r="C56" s="24" t="s">
        <v>18</v>
      </c>
      <c r="D56" s="24">
        <v>20</v>
      </c>
      <c r="E56" s="24">
        <v>60</v>
      </c>
      <c r="F56" s="24">
        <v>60</v>
      </c>
      <c r="G56" s="24">
        <f t="shared" si="0"/>
        <v>1200</v>
      </c>
      <c r="H56" s="24">
        <f t="shared" si="1"/>
        <v>1200</v>
      </c>
      <c r="I56" s="24">
        <f t="shared" si="2"/>
        <v>0</v>
      </c>
      <c r="J56" s="24" t="str">
        <f t="shared" si="3"/>
        <v>Egg Shop|Large</v>
      </c>
      <c r="K56" s="24" t="s">
        <v>116</v>
      </c>
    </row>
    <row r="57" spans="1:11">
      <c r="A57" s="27">
        <v>46118</v>
      </c>
      <c r="B57" s="24" t="s">
        <v>24</v>
      </c>
      <c r="C57" s="24" t="s">
        <v>22</v>
      </c>
      <c r="D57" s="24">
        <v>28</v>
      </c>
      <c r="E57" s="24">
        <v>58</v>
      </c>
      <c r="F57" s="24">
        <v>58</v>
      </c>
      <c r="G57" s="24">
        <f t="shared" si="0"/>
        <v>1624</v>
      </c>
      <c r="H57" s="24">
        <f t="shared" si="1"/>
        <v>1624</v>
      </c>
      <c r="I57" s="24">
        <f t="shared" si="2"/>
        <v>0</v>
      </c>
      <c r="J57" s="24" t="str">
        <f t="shared" si="3"/>
        <v>Egg Shop|Medium</v>
      </c>
      <c r="K57" s="24" t="s">
        <v>116</v>
      </c>
    </row>
    <row r="58" spans="1:11">
      <c r="A58" s="27">
        <v>46118</v>
      </c>
      <c r="B58" s="24" t="s">
        <v>24</v>
      </c>
      <c r="C58" s="24" t="s">
        <v>26</v>
      </c>
      <c r="D58" s="24">
        <v>98</v>
      </c>
      <c r="E58" s="24">
        <v>55</v>
      </c>
      <c r="F58" s="24">
        <v>55</v>
      </c>
      <c r="G58" s="24">
        <f t="shared" si="0"/>
        <v>5390</v>
      </c>
      <c r="H58" s="24">
        <f t="shared" si="1"/>
        <v>5390</v>
      </c>
      <c r="I58" s="24">
        <f t="shared" si="2"/>
        <v>0</v>
      </c>
      <c r="J58" s="24" t="str">
        <f t="shared" si="3"/>
        <v>Egg Shop|Small</v>
      </c>
      <c r="K58" s="24" t="s">
        <v>116</v>
      </c>
    </row>
    <row r="59" spans="1:11">
      <c r="A59" s="27">
        <v>46118</v>
      </c>
      <c r="B59" s="24" t="s">
        <v>24</v>
      </c>
      <c r="C59" s="24" t="s">
        <v>29</v>
      </c>
      <c r="D59" s="24">
        <v>107</v>
      </c>
      <c r="E59" s="24">
        <v>40</v>
      </c>
      <c r="F59" s="24">
        <v>40</v>
      </c>
      <c r="G59" s="24">
        <f t="shared" si="0"/>
        <v>4280</v>
      </c>
      <c r="H59" s="24">
        <f t="shared" si="1"/>
        <v>4280</v>
      </c>
      <c r="I59" s="24">
        <f t="shared" si="2"/>
        <v>0</v>
      </c>
      <c r="J59" s="24" t="str">
        <f t="shared" si="3"/>
        <v>Egg Shop|Pullet 1</v>
      </c>
      <c r="K59" s="24" t="s">
        <v>116</v>
      </c>
    </row>
    <row r="60" spans="1:11">
      <c r="A60" s="27">
        <v>46118</v>
      </c>
      <c r="B60" s="24" t="s">
        <v>24</v>
      </c>
      <c r="C60" s="24" t="s">
        <v>31</v>
      </c>
      <c r="D60" s="24">
        <v>43</v>
      </c>
      <c r="E60" s="24">
        <v>35</v>
      </c>
      <c r="F60" s="24">
        <v>35</v>
      </c>
      <c r="G60" s="24">
        <f t="shared" si="0"/>
        <v>1505</v>
      </c>
      <c r="H60" s="24">
        <f t="shared" si="1"/>
        <v>1505</v>
      </c>
      <c r="I60" s="24">
        <f t="shared" si="2"/>
        <v>0</v>
      </c>
      <c r="J60" s="24" t="str">
        <f t="shared" si="3"/>
        <v>Egg Shop|Pullet 2</v>
      </c>
      <c r="K60" s="24" t="s">
        <v>116</v>
      </c>
    </row>
    <row r="61" spans="1:11">
      <c r="A61" s="27">
        <v>46118</v>
      </c>
      <c r="B61" s="24" t="s">
        <v>24</v>
      </c>
      <c r="C61" s="24" t="s">
        <v>34</v>
      </c>
      <c r="D61" s="24">
        <v>0</v>
      </c>
      <c r="E61" s="24">
        <v>30</v>
      </c>
      <c r="F61" s="24">
        <v>30</v>
      </c>
      <c r="G61" s="24">
        <f t="shared" si="0"/>
        <v>0</v>
      </c>
      <c r="H61" s="24">
        <f t="shared" si="1"/>
        <v>0</v>
      </c>
      <c r="I61" s="24">
        <f t="shared" si="2"/>
        <v>0</v>
      </c>
      <c r="J61" s="24" t="str">
        <f t="shared" si="3"/>
        <v>Egg Shop|Broken</v>
      </c>
      <c r="K61" s="24" t="s">
        <v>116</v>
      </c>
    </row>
    <row r="62" spans="1:11">
      <c r="A62" s="27">
        <v>46121</v>
      </c>
      <c r="B62" s="24" t="s">
        <v>24</v>
      </c>
      <c r="C62" s="24" t="s">
        <v>18</v>
      </c>
      <c r="D62" s="24">
        <v>0</v>
      </c>
      <c r="E62" s="24">
        <v>60</v>
      </c>
      <c r="F62" s="24">
        <v>60</v>
      </c>
      <c r="G62" s="24">
        <f t="shared" si="0"/>
        <v>0</v>
      </c>
      <c r="H62" s="24">
        <f t="shared" si="1"/>
        <v>0</v>
      </c>
      <c r="I62" s="24">
        <f t="shared" si="2"/>
        <v>0</v>
      </c>
      <c r="J62" s="24" t="str">
        <f t="shared" si="3"/>
        <v>Egg Shop|Large</v>
      </c>
      <c r="K62" s="24" t="s">
        <v>116</v>
      </c>
    </row>
    <row r="63" spans="1:11">
      <c r="A63" s="27">
        <v>46121</v>
      </c>
      <c r="B63" s="24" t="s">
        <v>24</v>
      </c>
      <c r="C63" s="24" t="s">
        <v>22</v>
      </c>
      <c r="D63" s="24">
        <v>0.5</v>
      </c>
      <c r="E63" s="24">
        <v>58</v>
      </c>
      <c r="F63" s="24">
        <v>58</v>
      </c>
      <c r="G63" s="24">
        <f t="shared" si="0"/>
        <v>29</v>
      </c>
      <c r="H63" s="24">
        <f t="shared" si="1"/>
        <v>29</v>
      </c>
      <c r="I63" s="24">
        <f t="shared" si="2"/>
        <v>0</v>
      </c>
      <c r="J63" s="24" t="str">
        <f t="shared" si="3"/>
        <v>Egg Shop|Medium</v>
      </c>
      <c r="K63" s="24" t="s">
        <v>116</v>
      </c>
    </row>
    <row r="64" spans="1:11">
      <c r="A64" s="27">
        <v>46121</v>
      </c>
      <c r="B64" s="24" t="s">
        <v>24</v>
      </c>
      <c r="C64" s="24" t="s">
        <v>26</v>
      </c>
      <c r="D64" s="24">
        <v>9</v>
      </c>
      <c r="E64" s="24">
        <v>55</v>
      </c>
      <c r="F64" s="24">
        <v>55</v>
      </c>
      <c r="G64" s="24">
        <f t="shared" si="0"/>
        <v>495</v>
      </c>
      <c r="H64" s="24">
        <f t="shared" si="1"/>
        <v>495</v>
      </c>
      <c r="I64" s="24">
        <f t="shared" si="2"/>
        <v>0</v>
      </c>
      <c r="J64" s="24" t="str">
        <f t="shared" si="3"/>
        <v>Egg Shop|Small</v>
      </c>
      <c r="K64" s="24" t="s">
        <v>116</v>
      </c>
    </row>
    <row r="65" spans="1:11">
      <c r="A65" s="27">
        <v>46121</v>
      </c>
      <c r="B65" s="24" t="s">
        <v>24</v>
      </c>
      <c r="C65" s="24" t="s">
        <v>29</v>
      </c>
      <c r="D65" s="24">
        <v>0</v>
      </c>
      <c r="E65" s="24">
        <v>40</v>
      </c>
      <c r="F65" s="24">
        <v>40</v>
      </c>
      <c r="G65" s="24">
        <f t="shared" si="0"/>
        <v>0</v>
      </c>
      <c r="H65" s="24">
        <f t="shared" si="1"/>
        <v>0</v>
      </c>
      <c r="I65" s="24">
        <f t="shared" si="2"/>
        <v>0</v>
      </c>
      <c r="J65" s="24" t="str">
        <f t="shared" si="3"/>
        <v>Egg Shop|Pullet 1</v>
      </c>
      <c r="K65" s="24" t="s">
        <v>116</v>
      </c>
    </row>
    <row r="66" spans="1:11">
      <c r="A66" s="27">
        <v>46121</v>
      </c>
      <c r="B66" s="24" t="s">
        <v>24</v>
      </c>
      <c r="C66" s="24" t="s">
        <v>31</v>
      </c>
      <c r="D66" s="24">
        <v>0</v>
      </c>
      <c r="E66" s="24">
        <v>35</v>
      </c>
      <c r="F66" s="24">
        <v>35</v>
      </c>
      <c r="G66" s="24">
        <f t="shared" si="0"/>
        <v>0</v>
      </c>
      <c r="H66" s="24">
        <f t="shared" si="1"/>
        <v>0</v>
      </c>
      <c r="I66" s="24">
        <f t="shared" si="2"/>
        <v>0</v>
      </c>
      <c r="J66" s="24" t="str">
        <f t="shared" si="3"/>
        <v>Egg Shop|Pullet 2</v>
      </c>
      <c r="K66" s="24" t="s">
        <v>116</v>
      </c>
    </row>
    <row r="67" spans="1:11">
      <c r="A67" s="27">
        <v>46121</v>
      </c>
      <c r="B67" s="24" t="s">
        <v>24</v>
      </c>
      <c r="C67" s="24" t="s">
        <v>34</v>
      </c>
      <c r="D67" s="24">
        <v>4</v>
      </c>
      <c r="E67" s="24">
        <v>30</v>
      </c>
      <c r="F67" s="24">
        <v>30</v>
      </c>
      <c r="G67" s="24">
        <f t="shared" ref="G67:G130" si="4">IF(OR(D67="",E67=""),"",D67*E67)</f>
        <v>120</v>
      </c>
      <c r="H67" s="24">
        <f t="shared" ref="H67:H130" si="5">IF(OR(D67="",F67=""),"",D67*F67)</f>
        <v>120</v>
      </c>
      <c r="I67" s="24">
        <f t="shared" ref="I67:I130" si="6">IF(OR(G67="",H67=""),"",G67-H67)</f>
        <v>0</v>
      </c>
      <c r="J67" s="24" t="str">
        <f t="shared" ref="J67:J130" si="7">IF(OR(B67="",C67=""),"",B67&amp;"|"&amp;C67)</f>
        <v>Egg Shop|Broken</v>
      </c>
      <c r="K67" s="24" t="s">
        <v>116</v>
      </c>
    </row>
    <row r="68" spans="1:11">
      <c r="A68" s="27">
        <v>46122</v>
      </c>
      <c r="B68" s="24" t="s">
        <v>24</v>
      </c>
      <c r="C68" s="24" t="s">
        <v>18</v>
      </c>
      <c r="D68" s="24">
        <v>2</v>
      </c>
      <c r="E68" s="24">
        <v>60</v>
      </c>
      <c r="F68" s="24">
        <v>60</v>
      </c>
      <c r="G68" s="24">
        <f t="shared" si="4"/>
        <v>120</v>
      </c>
      <c r="H68" s="24">
        <f t="shared" si="5"/>
        <v>120</v>
      </c>
      <c r="I68" s="24">
        <f t="shared" si="6"/>
        <v>0</v>
      </c>
      <c r="J68" s="24" t="str">
        <f t="shared" si="7"/>
        <v>Egg Shop|Large</v>
      </c>
      <c r="K68" s="24" t="s">
        <v>116</v>
      </c>
    </row>
    <row r="69" spans="1:11">
      <c r="A69" s="27">
        <v>46122</v>
      </c>
      <c r="B69" s="24" t="s">
        <v>24</v>
      </c>
      <c r="C69" s="24" t="s">
        <v>22</v>
      </c>
      <c r="D69" s="24">
        <v>0.5</v>
      </c>
      <c r="E69" s="24">
        <v>58</v>
      </c>
      <c r="F69" s="24">
        <v>58</v>
      </c>
      <c r="G69" s="24">
        <f t="shared" si="4"/>
        <v>29</v>
      </c>
      <c r="H69" s="24">
        <f t="shared" si="5"/>
        <v>29</v>
      </c>
      <c r="I69" s="24">
        <f t="shared" si="6"/>
        <v>0</v>
      </c>
      <c r="J69" s="24" t="str">
        <f t="shared" si="7"/>
        <v>Egg Shop|Medium</v>
      </c>
      <c r="K69" s="24" t="s">
        <v>116</v>
      </c>
    </row>
    <row r="70" spans="1:11">
      <c r="A70" s="27">
        <v>46122</v>
      </c>
      <c r="B70" s="24" t="s">
        <v>24</v>
      </c>
      <c r="C70" s="24" t="s">
        <v>26</v>
      </c>
      <c r="D70" s="24">
        <v>2</v>
      </c>
      <c r="E70" s="24">
        <v>55</v>
      </c>
      <c r="F70" s="24">
        <v>55</v>
      </c>
      <c r="G70" s="24">
        <f t="shared" si="4"/>
        <v>110</v>
      </c>
      <c r="H70" s="24">
        <f t="shared" si="5"/>
        <v>110</v>
      </c>
      <c r="I70" s="24">
        <f t="shared" si="6"/>
        <v>0</v>
      </c>
      <c r="J70" s="24" t="str">
        <f t="shared" si="7"/>
        <v>Egg Shop|Small</v>
      </c>
      <c r="K70" s="24" t="s">
        <v>116</v>
      </c>
    </row>
    <row r="71" spans="1:11">
      <c r="A71" s="27">
        <v>46122</v>
      </c>
      <c r="B71" s="24" t="s">
        <v>24</v>
      </c>
      <c r="C71" s="24" t="s">
        <v>29</v>
      </c>
      <c r="D71" s="24">
        <v>20</v>
      </c>
      <c r="E71" s="24">
        <v>40</v>
      </c>
      <c r="F71" s="24">
        <v>40</v>
      </c>
      <c r="G71" s="24">
        <f t="shared" si="4"/>
        <v>800</v>
      </c>
      <c r="H71" s="24">
        <f t="shared" si="5"/>
        <v>800</v>
      </c>
      <c r="I71" s="24">
        <f t="shared" si="6"/>
        <v>0</v>
      </c>
      <c r="J71" s="24" t="str">
        <f t="shared" si="7"/>
        <v>Egg Shop|Pullet 1</v>
      </c>
      <c r="K71" s="24" t="s">
        <v>116</v>
      </c>
    </row>
    <row r="72" spans="1:11">
      <c r="A72" s="27">
        <v>46122</v>
      </c>
      <c r="B72" s="24" t="s">
        <v>24</v>
      </c>
      <c r="C72" s="24" t="s">
        <v>31</v>
      </c>
      <c r="D72" s="24">
        <v>0</v>
      </c>
      <c r="E72" s="24">
        <v>35</v>
      </c>
      <c r="F72" s="24">
        <v>35</v>
      </c>
      <c r="G72" s="24">
        <f t="shared" si="4"/>
        <v>0</v>
      </c>
      <c r="H72" s="24">
        <f t="shared" si="5"/>
        <v>0</v>
      </c>
      <c r="I72" s="24">
        <f t="shared" si="6"/>
        <v>0</v>
      </c>
      <c r="J72" s="24" t="str">
        <f t="shared" si="7"/>
        <v>Egg Shop|Pullet 2</v>
      </c>
      <c r="K72" s="24" t="s">
        <v>116</v>
      </c>
    </row>
    <row r="73" spans="1:11">
      <c r="A73" s="27">
        <v>46122</v>
      </c>
      <c r="B73" s="24" t="s">
        <v>24</v>
      </c>
      <c r="C73" s="24" t="s">
        <v>34</v>
      </c>
      <c r="D73" s="24">
        <v>0</v>
      </c>
      <c r="E73" s="24">
        <v>30</v>
      </c>
      <c r="F73" s="24">
        <v>30</v>
      </c>
      <c r="G73" s="24">
        <f t="shared" si="4"/>
        <v>0</v>
      </c>
      <c r="H73" s="24">
        <f t="shared" si="5"/>
        <v>0</v>
      </c>
      <c r="I73" s="24">
        <f t="shared" si="6"/>
        <v>0</v>
      </c>
      <c r="J73" s="24" t="str">
        <f t="shared" si="7"/>
        <v>Egg Shop|Broken</v>
      </c>
      <c r="K73" s="24" t="s">
        <v>116</v>
      </c>
    </row>
    <row r="74" spans="1:11">
      <c r="A74" s="27">
        <v>46124</v>
      </c>
      <c r="B74" s="24" t="s">
        <v>24</v>
      </c>
      <c r="C74" s="24" t="s">
        <v>18</v>
      </c>
      <c r="D74" s="24">
        <v>14</v>
      </c>
      <c r="E74" s="24">
        <v>60</v>
      </c>
      <c r="F74" s="24">
        <v>60</v>
      </c>
      <c r="G74" s="24">
        <f t="shared" si="4"/>
        <v>840</v>
      </c>
      <c r="H74" s="24">
        <f t="shared" si="5"/>
        <v>840</v>
      </c>
      <c r="I74" s="24">
        <f t="shared" si="6"/>
        <v>0</v>
      </c>
      <c r="J74" s="24" t="str">
        <f t="shared" si="7"/>
        <v>Egg Shop|Large</v>
      </c>
      <c r="K74" s="24" t="s">
        <v>116</v>
      </c>
    </row>
    <row r="75" spans="1:11">
      <c r="A75" s="27">
        <v>46124</v>
      </c>
      <c r="B75" s="24" t="s">
        <v>24</v>
      </c>
      <c r="C75" s="24" t="s">
        <v>22</v>
      </c>
      <c r="D75" s="24">
        <v>56</v>
      </c>
      <c r="E75" s="24">
        <v>58</v>
      </c>
      <c r="F75" s="24">
        <v>58</v>
      </c>
      <c r="G75" s="24">
        <f t="shared" si="4"/>
        <v>3248</v>
      </c>
      <c r="H75" s="24">
        <f t="shared" si="5"/>
        <v>3248</v>
      </c>
      <c r="I75" s="24">
        <f t="shared" si="6"/>
        <v>0</v>
      </c>
      <c r="J75" s="24" t="str">
        <f t="shared" si="7"/>
        <v>Egg Shop|Medium</v>
      </c>
      <c r="K75" s="24" t="s">
        <v>116</v>
      </c>
    </row>
    <row r="76" spans="1:11">
      <c r="A76" s="27">
        <v>46124</v>
      </c>
      <c r="B76" s="24" t="s">
        <v>24</v>
      </c>
      <c r="C76" s="24" t="s">
        <v>26</v>
      </c>
      <c r="D76" s="24">
        <v>42.5</v>
      </c>
      <c r="E76" s="24">
        <v>55</v>
      </c>
      <c r="F76" s="24">
        <v>55</v>
      </c>
      <c r="G76" s="24">
        <f t="shared" si="4"/>
        <v>2337.5</v>
      </c>
      <c r="H76" s="24">
        <f t="shared" si="5"/>
        <v>2337.5</v>
      </c>
      <c r="I76" s="24">
        <f t="shared" si="6"/>
        <v>0</v>
      </c>
      <c r="J76" s="24" t="str">
        <f t="shared" si="7"/>
        <v>Egg Shop|Small</v>
      </c>
      <c r="K76" s="24" t="s">
        <v>116</v>
      </c>
    </row>
    <row r="77" spans="1:11">
      <c r="A77" s="27">
        <v>46124</v>
      </c>
      <c r="B77" s="24" t="s">
        <v>24</v>
      </c>
      <c r="C77" s="24" t="s">
        <v>29</v>
      </c>
      <c r="D77" s="24">
        <v>94</v>
      </c>
      <c r="E77" s="24">
        <v>40</v>
      </c>
      <c r="F77" s="24">
        <v>40</v>
      </c>
      <c r="G77" s="24">
        <f t="shared" si="4"/>
        <v>3760</v>
      </c>
      <c r="H77" s="24">
        <f t="shared" si="5"/>
        <v>3760</v>
      </c>
      <c r="I77" s="24">
        <f t="shared" si="6"/>
        <v>0</v>
      </c>
      <c r="J77" s="24" t="str">
        <f t="shared" si="7"/>
        <v>Egg Shop|Pullet 1</v>
      </c>
      <c r="K77" s="24" t="s">
        <v>116</v>
      </c>
    </row>
    <row r="78" spans="1:11">
      <c r="A78" s="27">
        <v>46124</v>
      </c>
      <c r="B78" s="24" t="s">
        <v>24</v>
      </c>
      <c r="C78" s="24" t="s">
        <v>31</v>
      </c>
      <c r="D78" s="24">
        <v>34</v>
      </c>
      <c r="E78" s="24">
        <v>35</v>
      </c>
      <c r="F78" s="24">
        <v>35</v>
      </c>
      <c r="G78" s="24">
        <f t="shared" si="4"/>
        <v>1190</v>
      </c>
      <c r="H78" s="24">
        <f t="shared" si="5"/>
        <v>1190</v>
      </c>
      <c r="I78" s="24">
        <f t="shared" si="6"/>
        <v>0</v>
      </c>
      <c r="J78" s="24" t="str">
        <f t="shared" si="7"/>
        <v>Egg Shop|Pullet 2</v>
      </c>
      <c r="K78" s="24" t="s">
        <v>116</v>
      </c>
    </row>
    <row r="79" spans="1:11">
      <c r="A79" s="27">
        <v>46124</v>
      </c>
      <c r="B79" s="24" t="s">
        <v>24</v>
      </c>
      <c r="C79" s="24" t="s">
        <v>34</v>
      </c>
      <c r="D79" s="24">
        <v>0</v>
      </c>
      <c r="E79" s="24">
        <v>30</v>
      </c>
      <c r="F79" s="24">
        <v>30</v>
      </c>
      <c r="G79" s="24">
        <f t="shared" si="4"/>
        <v>0</v>
      </c>
      <c r="H79" s="24">
        <f t="shared" si="5"/>
        <v>0</v>
      </c>
      <c r="I79" s="24">
        <f t="shared" si="6"/>
        <v>0</v>
      </c>
      <c r="J79" s="24" t="str">
        <f t="shared" si="7"/>
        <v>Egg Shop|Broken</v>
      </c>
      <c r="K79" s="24" t="s">
        <v>116</v>
      </c>
    </row>
    <row r="80" spans="1:11">
      <c r="A80" s="27">
        <v>46123</v>
      </c>
      <c r="B80" s="24" t="s">
        <v>24</v>
      </c>
      <c r="C80" s="24" t="s">
        <v>18</v>
      </c>
      <c r="D80" s="24">
        <v>0</v>
      </c>
      <c r="E80" s="24">
        <v>60</v>
      </c>
      <c r="F80" s="24">
        <v>60</v>
      </c>
      <c r="G80" s="24">
        <f t="shared" si="4"/>
        <v>0</v>
      </c>
      <c r="H80" s="24">
        <f t="shared" si="5"/>
        <v>0</v>
      </c>
      <c r="I80" s="24">
        <f t="shared" si="6"/>
        <v>0</v>
      </c>
      <c r="J80" s="24" t="str">
        <f t="shared" si="7"/>
        <v>Egg Shop|Large</v>
      </c>
      <c r="K80" s="24" t="s">
        <v>116</v>
      </c>
    </row>
    <row r="81" spans="1:11">
      <c r="A81" s="27">
        <v>46123</v>
      </c>
      <c r="B81" s="24" t="s">
        <v>24</v>
      </c>
      <c r="C81" s="24" t="s">
        <v>22</v>
      </c>
      <c r="D81" s="24">
        <v>27</v>
      </c>
      <c r="E81" s="24">
        <v>58</v>
      </c>
      <c r="F81" s="24">
        <v>58</v>
      </c>
      <c r="G81" s="24">
        <f t="shared" si="4"/>
        <v>1566</v>
      </c>
      <c r="H81" s="24">
        <f t="shared" si="5"/>
        <v>1566</v>
      </c>
      <c r="I81" s="24">
        <f t="shared" si="6"/>
        <v>0</v>
      </c>
      <c r="J81" s="24" t="str">
        <f t="shared" si="7"/>
        <v>Egg Shop|Medium</v>
      </c>
      <c r="K81" s="24" t="s">
        <v>116</v>
      </c>
    </row>
    <row r="82" spans="1:11">
      <c r="A82" s="27">
        <v>46123</v>
      </c>
      <c r="B82" s="24" t="s">
        <v>24</v>
      </c>
      <c r="C82" s="24" t="s">
        <v>26</v>
      </c>
      <c r="D82" s="24">
        <v>-39</v>
      </c>
      <c r="E82" s="24">
        <v>55</v>
      </c>
      <c r="F82" s="24">
        <v>55</v>
      </c>
      <c r="G82" s="24">
        <f t="shared" si="4"/>
        <v>-2145</v>
      </c>
      <c r="H82" s="24">
        <f t="shared" si="5"/>
        <v>-2145</v>
      </c>
      <c r="I82" s="24">
        <f t="shared" si="6"/>
        <v>0</v>
      </c>
      <c r="J82" s="24" t="str">
        <f t="shared" si="7"/>
        <v>Egg Shop|Small</v>
      </c>
      <c r="K82" s="24" t="s">
        <v>116</v>
      </c>
    </row>
    <row r="83" spans="1:11">
      <c r="A83" s="27">
        <v>46123</v>
      </c>
      <c r="B83" s="24" t="s">
        <v>24</v>
      </c>
      <c r="C83" s="24" t="s">
        <v>29</v>
      </c>
      <c r="D83" s="24">
        <v>-3</v>
      </c>
      <c r="E83" s="24">
        <v>40</v>
      </c>
      <c r="F83" s="24">
        <v>40</v>
      </c>
      <c r="G83" s="24">
        <f t="shared" si="4"/>
        <v>-120</v>
      </c>
      <c r="H83" s="24">
        <f t="shared" si="5"/>
        <v>-120</v>
      </c>
      <c r="I83" s="24">
        <f t="shared" si="6"/>
        <v>0</v>
      </c>
      <c r="J83" s="24" t="str">
        <f t="shared" si="7"/>
        <v>Egg Shop|Pullet 1</v>
      </c>
      <c r="K83" s="24" t="s">
        <v>116</v>
      </c>
    </row>
    <row r="84" spans="1:11">
      <c r="A84" s="27">
        <v>46123</v>
      </c>
      <c r="B84" s="24" t="s">
        <v>24</v>
      </c>
      <c r="C84" s="24" t="s">
        <v>31</v>
      </c>
      <c r="D84" s="24">
        <v>0</v>
      </c>
      <c r="E84" s="24">
        <v>35</v>
      </c>
      <c r="F84" s="24">
        <v>35</v>
      </c>
      <c r="G84" s="24">
        <f t="shared" si="4"/>
        <v>0</v>
      </c>
      <c r="H84" s="24">
        <f t="shared" si="5"/>
        <v>0</v>
      </c>
      <c r="I84" s="24">
        <f t="shared" si="6"/>
        <v>0</v>
      </c>
      <c r="J84" s="24" t="str">
        <f t="shared" si="7"/>
        <v>Egg Shop|Pullet 2</v>
      </c>
      <c r="K84" s="24" t="s">
        <v>116</v>
      </c>
    </row>
    <row r="85" spans="1:11">
      <c r="A85" s="27">
        <v>46123</v>
      </c>
      <c r="B85" s="24" t="s">
        <v>24</v>
      </c>
      <c r="C85" s="24" t="s">
        <v>34</v>
      </c>
      <c r="D85" s="24">
        <v>-7</v>
      </c>
      <c r="E85" s="24">
        <v>30</v>
      </c>
      <c r="F85" s="24">
        <v>30</v>
      </c>
      <c r="G85" s="24">
        <f t="shared" si="4"/>
        <v>-210</v>
      </c>
      <c r="H85" s="24">
        <f t="shared" si="5"/>
        <v>-210</v>
      </c>
      <c r="I85" s="24">
        <f t="shared" si="6"/>
        <v>0</v>
      </c>
      <c r="J85" s="24" t="str">
        <f t="shared" si="7"/>
        <v>Egg Shop|Broken</v>
      </c>
      <c r="K85" s="24" t="s">
        <v>116</v>
      </c>
    </row>
    <row r="86" spans="1:11">
      <c r="A86" s="27">
        <v>46123</v>
      </c>
      <c r="B86" s="24" t="s">
        <v>12</v>
      </c>
      <c r="C86" s="24" t="s">
        <v>13</v>
      </c>
      <c r="D86" s="24">
        <v>6</v>
      </c>
      <c r="E86" s="24">
        <v>365</v>
      </c>
      <c r="F86" s="24">
        <f>IF(B86="Egg Shop","",IF(J86="","",IFERROR(LOOKUP(2,1/(Purchases!$H$3:$H$2002=J86),Purchases!$F$3:$F$2002),"")))</f>
        <v>352</v>
      </c>
      <c r="G86" s="24">
        <f t="shared" si="4"/>
        <v>2190</v>
      </c>
      <c r="H86" s="24">
        <f t="shared" si="5"/>
        <v>2112</v>
      </c>
      <c r="I86" s="24">
        <f t="shared" si="6"/>
        <v>78</v>
      </c>
      <c r="J86" s="24" t="str">
        <f t="shared" si="7"/>
        <v>Akatsi Feed|LM</v>
      </c>
      <c r="K86" s="24" t="s">
        <v>116</v>
      </c>
    </row>
    <row r="87" spans="1:11">
      <c r="A87" s="27">
        <v>46123</v>
      </c>
      <c r="B87" s="24" t="s">
        <v>12</v>
      </c>
      <c r="C87" s="24" t="s">
        <v>17</v>
      </c>
      <c r="D87" s="24">
        <v>2</v>
      </c>
      <c r="E87" s="24">
        <v>350</v>
      </c>
      <c r="F87" s="24">
        <f>IF(B87="Egg Shop","",IF(J87="","",IFERROR(LOOKUP(2,1/(Purchases!$H$3:$H$2002=J87),Purchases!$F$3:$F$2002),"")))</f>
        <v>340</v>
      </c>
      <c r="G87" s="24">
        <f t="shared" si="4"/>
        <v>700</v>
      </c>
      <c r="H87" s="24">
        <f t="shared" si="5"/>
        <v>680</v>
      </c>
      <c r="I87" s="24">
        <f t="shared" si="6"/>
        <v>20</v>
      </c>
      <c r="J87" s="24" t="str">
        <f t="shared" si="7"/>
        <v>Akatsi Feed|GM</v>
      </c>
      <c r="K87" s="24" t="s">
        <v>116</v>
      </c>
    </row>
    <row r="88" spans="1:11">
      <c r="A88" s="27">
        <v>46123</v>
      </c>
      <c r="B88" s="24" t="s">
        <v>12</v>
      </c>
      <c r="C88" s="24" t="s">
        <v>21</v>
      </c>
      <c r="D88" s="24">
        <v>1</v>
      </c>
      <c r="E88" s="24">
        <v>370</v>
      </c>
      <c r="F88" s="24">
        <f>IF(B88="Egg Shop","",IF(J88="","",IFERROR(LOOKUP(2,1/(Purchases!$H$3:$H$2002=J88),Purchases!$F$3:$F$2002),"")))</f>
        <v>357</v>
      </c>
      <c r="G88" s="24">
        <f t="shared" si="4"/>
        <v>370</v>
      </c>
      <c r="H88" s="24">
        <f t="shared" si="5"/>
        <v>357</v>
      </c>
      <c r="I88" s="24">
        <f t="shared" si="6"/>
        <v>13</v>
      </c>
      <c r="J88" s="24" t="str">
        <f t="shared" si="7"/>
        <v>Akatsi Feed|CM</v>
      </c>
      <c r="K88" s="24" t="s">
        <v>116</v>
      </c>
    </row>
    <row r="89" spans="1:11">
      <c r="A89" s="27">
        <v>46123</v>
      </c>
      <c r="B89" s="24" t="s">
        <v>12</v>
      </c>
      <c r="C89" s="24" t="s">
        <v>33</v>
      </c>
      <c r="D89" s="24">
        <v>1</v>
      </c>
      <c r="E89" s="24">
        <v>90</v>
      </c>
      <c r="F89" s="24">
        <f>IF(B89="Egg Shop","",IF(J89="","",IFERROR(LOOKUP(2,1/(Purchases!$H$3:$H$2002=J89),Purchases!$F$3:$F$2002),"")))</f>
        <v>80</v>
      </c>
      <c r="G89" s="24">
        <f t="shared" si="4"/>
        <v>90</v>
      </c>
      <c r="H89" s="24">
        <f t="shared" si="5"/>
        <v>80</v>
      </c>
      <c r="I89" s="24">
        <f t="shared" si="6"/>
        <v>10</v>
      </c>
      <c r="J89" s="24" t="str">
        <f t="shared" si="7"/>
        <v>Akatsi Feed|Crates</v>
      </c>
      <c r="K89" s="24" t="s">
        <v>116</v>
      </c>
    </row>
    <row r="90" spans="1:11">
      <c r="A90" s="27">
        <v>46123</v>
      </c>
      <c r="B90" s="24" t="s">
        <v>16</v>
      </c>
      <c r="C90" s="24" t="s">
        <v>13</v>
      </c>
      <c r="D90" s="24">
        <v>3</v>
      </c>
      <c r="E90" s="24">
        <v>365</v>
      </c>
      <c r="F90" s="24">
        <f>IF(B90="Egg Shop","",IF(J90="","",IFERROR(LOOKUP(2,1/(Purchases!$H$3:$H$2002=J90),Purchases!$F$3:$F$2002),"")))</f>
        <v>352</v>
      </c>
      <c r="G90" s="24">
        <f t="shared" si="4"/>
        <v>1095</v>
      </c>
      <c r="H90" s="24">
        <f t="shared" si="5"/>
        <v>1056</v>
      </c>
      <c r="I90" s="24">
        <f t="shared" si="6"/>
        <v>39</v>
      </c>
      <c r="J90" s="24" t="str">
        <f t="shared" si="7"/>
        <v>Abor Feed|LM</v>
      </c>
      <c r="K90" s="24" t="s">
        <v>116</v>
      </c>
    </row>
    <row r="91" spans="1:11">
      <c r="A91" s="27">
        <v>46125</v>
      </c>
      <c r="B91" s="24" t="s">
        <v>12</v>
      </c>
      <c r="C91" s="24" t="s">
        <v>13</v>
      </c>
      <c r="D91" s="24">
        <v>9</v>
      </c>
      <c r="E91" s="24">
        <v>365</v>
      </c>
      <c r="F91" s="24">
        <f>IF(B91="Egg Shop","",IF(J91="","",IFERROR(LOOKUP(2,1/(Purchases!$H$3:$H$2002=J91),Purchases!$F$3:$F$2002),"")))</f>
        <v>352</v>
      </c>
      <c r="G91" s="24">
        <f t="shared" si="4"/>
        <v>3285</v>
      </c>
      <c r="H91" s="24">
        <f t="shared" si="5"/>
        <v>3168</v>
      </c>
      <c r="I91" s="24">
        <f t="shared" si="6"/>
        <v>117</v>
      </c>
      <c r="J91" s="24" t="str">
        <f t="shared" si="7"/>
        <v>Akatsi Feed|LM</v>
      </c>
      <c r="K91" s="24" t="s">
        <v>116</v>
      </c>
    </row>
    <row r="92" spans="1:11">
      <c r="A92" s="27">
        <v>46125</v>
      </c>
      <c r="B92" s="24" t="s">
        <v>12</v>
      </c>
      <c r="C92" s="24" t="s">
        <v>17</v>
      </c>
      <c r="D92" s="24">
        <v>2</v>
      </c>
      <c r="E92" s="24">
        <v>350</v>
      </c>
      <c r="F92" s="24">
        <f>IF(B92="Egg Shop","",IF(J92="","",IFERROR(LOOKUP(2,1/(Purchases!$H$3:$H$2002=J92),Purchases!$F$3:$F$2002),"")))</f>
        <v>340</v>
      </c>
      <c r="G92" s="24">
        <f t="shared" si="4"/>
        <v>700</v>
      </c>
      <c r="H92" s="24">
        <f t="shared" si="5"/>
        <v>680</v>
      </c>
      <c r="I92" s="24">
        <f t="shared" si="6"/>
        <v>20</v>
      </c>
      <c r="J92" s="24" t="str">
        <f t="shared" si="7"/>
        <v>Akatsi Feed|GM</v>
      </c>
      <c r="K92" s="24" t="s">
        <v>116</v>
      </c>
    </row>
    <row r="93" spans="1:11">
      <c r="A93" s="27">
        <v>46125</v>
      </c>
      <c r="B93" s="24" t="s">
        <v>12</v>
      </c>
      <c r="C93" s="24" t="s">
        <v>21</v>
      </c>
      <c r="D93" s="24">
        <v>0</v>
      </c>
      <c r="E93" s="24">
        <v>370</v>
      </c>
      <c r="F93" s="24">
        <f>IF(B93="Egg Shop","",IF(J93="","",IFERROR(LOOKUP(2,1/(Purchases!$H$3:$H$2002=J93),Purchases!$F$3:$F$2002),"")))</f>
        <v>357</v>
      </c>
      <c r="G93" s="24">
        <f t="shared" si="4"/>
        <v>0</v>
      </c>
      <c r="H93" s="24">
        <f t="shared" si="5"/>
        <v>0</v>
      </c>
      <c r="I93" s="24">
        <f t="shared" si="6"/>
        <v>0</v>
      </c>
      <c r="J93" s="24" t="str">
        <f t="shared" si="7"/>
        <v>Akatsi Feed|CM</v>
      </c>
      <c r="K93" s="24" t="s">
        <v>116</v>
      </c>
    </row>
    <row r="94" spans="1:11">
      <c r="A94" s="27">
        <v>46125</v>
      </c>
      <c r="B94" s="24" t="s">
        <v>12</v>
      </c>
      <c r="C94" s="24" t="s">
        <v>33</v>
      </c>
      <c r="D94" s="24">
        <v>8</v>
      </c>
      <c r="E94" s="24">
        <v>90</v>
      </c>
      <c r="F94" s="24">
        <f>IF(B94="Egg Shop","",IF(J94="","",IFERROR(LOOKUP(2,1/(Purchases!$H$3:$H$2002=J94),Purchases!$F$3:$F$2002),"")))</f>
        <v>80</v>
      </c>
      <c r="G94" s="24">
        <f t="shared" si="4"/>
        <v>720</v>
      </c>
      <c r="H94" s="24">
        <f t="shared" si="5"/>
        <v>640</v>
      </c>
      <c r="I94" s="24">
        <f t="shared" si="6"/>
        <v>80</v>
      </c>
      <c r="J94" s="24" t="str">
        <f t="shared" si="7"/>
        <v>Akatsi Feed|Crates</v>
      </c>
      <c r="K94" s="24" t="s">
        <v>116</v>
      </c>
    </row>
    <row r="95" spans="1:11">
      <c r="A95" s="27">
        <v>46125</v>
      </c>
      <c r="B95" s="24" t="s">
        <v>16</v>
      </c>
      <c r="C95" s="24" t="s">
        <v>13</v>
      </c>
      <c r="D95" s="24">
        <v>1</v>
      </c>
      <c r="E95" s="24">
        <v>365</v>
      </c>
      <c r="F95" s="24">
        <f>IF(B95="Egg Shop","",IF(J95="","",IFERROR(LOOKUP(2,1/(Purchases!$H$3:$H$2002=J95),Purchases!$F$3:$F$2002),"")))</f>
        <v>352</v>
      </c>
      <c r="G95" s="24">
        <f t="shared" si="4"/>
        <v>365</v>
      </c>
      <c r="H95" s="24">
        <f t="shared" si="5"/>
        <v>352</v>
      </c>
      <c r="I95" s="24">
        <f t="shared" si="6"/>
        <v>13</v>
      </c>
      <c r="J95" s="24" t="str">
        <f t="shared" si="7"/>
        <v>Abor Feed|LM</v>
      </c>
      <c r="K95" s="24" t="s">
        <v>116</v>
      </c>
    </row>
    <row r="96" spans="1:11">
      <c r="A96" s="27">
        <v>46125</v>
      </c>
      <c r="B96" s="24" t="s">
        <v>24</v>
      </c>
      <c r="C96" s="24" t="s">
        <v>18</v>
      </c>
      <c r="D96" s="24">
        <v>0</v>
      </c>
      <c r="E96" s="24">
        <v>60</v>
      </c>
      <c r="F96" s="24">
        <v>60</v>
      </c>
      <c r="G96" s="24">
        <f t="shared" si="4"/>
        <v>0</v>
      </c>
      <c r="H96" s="24">
        <f t="shared" si="5"/>
        <v>0</v>
      </c>
      <c r="I96" s="24">
        <f t="shared" si="6"/>
        <v>0</v>
      </c>
      <c r="J96" s="24" t="str">
        <f t="shared" si="7"/>
        <v>Egg Shop|Large</v>
      </c>
      <c r="K96" s="24" t="s">
        <v>116</v>
      </c>
    </row>
    <row r="97" spans="1:11">
      <c r="A97" s="27">
        <v>46125</v>
      </c>
      <c r="B97" s="24" t="s">
        <v>24</v>
      </c>
      <c r="C97" s="24" t="s">
        <v>22</v>
      </c>
      <c r="D97" s="24">
        <v>1</v>
      </c>
      <c r="E97" s="24">
        <v>58</v>
      </c>
      <c r="F97" s="24">
        <v>58</v>
      </c>
      <c r="G97" s="24">
        <f t="shared" si="4"/>
        <v>58</v>
      </c>
      <c r="H97" s="24">
        <f t="shared" si="5"/>
        <v>58</v>
      </c>
      <c r="I97" s="24">
        <f t="shared" si="6"/>
        <v>0</v>
      </c>
      <c r="J97" s="24" t="str">
        <f t="shared" si="7"/>
        <v>Egg Shop|Medium</v>
      </c>
      <c r="K97" s="24" t="s">
        <v>116</v>
      </c>
    </row>
    <row r="98" spans="1:11">
      <c r="A98" s="27">
        <v>46125</v>
      </c>
      <c r="B98" s="24" t="s">
        <v>24</v>
      </c>
      <c r="C98" s="24" t="s">
        <v>26</v>
      </c>
      <c r="D98" s="24">
        <v>2</v>
      </c>
      <c r="E98" s="24">
        <v>55</v>
      </c>
      <c r="F98" s="24">
        <v>55</v>
      </c>
      <c r="G98" s="24">
        <f t="shared" si="4"/>
        <v>110</v>
      </c>
      <c r="H98" s="24">
        <f t="shared" si="5"/>
        <v>110</v>
      </c>
      <c r="I98" s="24">
        <f t="shared" si="6"/>
        <v>0</v>
      </c>
      <c r="J98" s="24" t="str">
        <f t="shared" si="7"/>
        <v>Egg Shop|Small</v>
      </c>
      <c r="K98" s="24" t="s">
        <v>116</v>
      </c>
    </row>
    <row r="99" spans="1:11">
      <c r="A99" s="27">
        <v>46125</v>
      </c>
      <c r="B99" s="24" t="s">
        <v>24</v>
      </c>
      <c r="C99" s="24" t="s">
        <v>29</v>
      </c>
      <c r="D99" s="24">
        <v>0</v>
      </c>
      <c r="E99" s="24">
        <v>40</v>
      </c>
      <c r="F99" s="24">
        <v>40</v>
      </c>
      <c r="G99" s="24">
        <f t="shared" si="4"/>
        <v>0</v>
      </c>
      <c r="H99" s="24">
        <f t="shared" si="5"/>
        <v>0</v>
      </c>
      <c r="I99" s="24">
        <f t="shared" si="6"/>
        <v>0</v>
      </c>
      <c r="J99" s="24" t="str">
        <f t="shared" si="7"/>
        <v>Egg Shop|Pullet 1</v>
      </c>
      <c r="K99" s="24" t="s">
        <v>116</v>
      </c>
    </row>
    <row r="100" spans="1:11">
      <c r="A100" s="27">
        <v>46125</v>
      </c>
      <c r="B100" s="24" t="s">
        <v>24</v>
      </c>
      <c r="C100" s="24" t="s">
        <v>31</v>
      </c>
      <c r="D100" s="24">
        <v>0</v>
      </c>
      <c r="E100" s="24">
        <v>35</v>
      </c>
      <c r="F100" s="24">
        <v>35</v>
      </c>
      <c r="G100" s="24">
        <f t="shared" si="4"/>
        <v>0</v>
      </c>
      <c r="H100" s="24">
        <f t="shared" si="5"/>
        <v>0</v>
      </c>
      <c r="I100" s="24">
        <f t="shared" si="6"/>
        <v>0</v>
      </c>
      <c r="J100" s="24" t="str">
        <f t="shared" si="7"/>
        <v>Egg Shop|Pullet 2</v>
      </c>
      <c r="K100" s="24" t="s">
        <v>116</v>
      </c>
    </row>
    <row r="101" spans="1:11">
      <c r="A101" s="27">
        <v>46125</v>
      </c>
      <c r="B101" s="24" t="s">
        <v>24</v>
      </c>
      <c r="C101" s="24" t="s">
        <v>34</v>
      </c>
      <c r="D101" s="24">
        <v>3</v>
      </c>
      <c r="E101" s="24">
        <v>30</v>
      </c>
      <c r="F101" s="24">
        <v>30</v>
      </c>
      <c r="G101" s="24">
        <f t="shared" si="4"/>
        <v>90</v>
      </c>
      <c r="H101" s="24">
        <f t="shared" si="5"/>
        <v>90</v>
      </c>
      <c r="I101" s="24">
        <f t="shared" si="6"/>
        <v>0</v>
      </c>
      <c r="J101" s="24" t="str">
        <f t="shared" si="7"/>
        <v>Egg Shop|Broken</v>
      </c>
      <c r="K101" s="24" t="s">
        <v>116</v>
      </c>
    </row>
    <row r="102" spans="1:11">
      <c r="A102" s="27">
        <v>46126</v>
      </c>
      <c r="B102" s="24" t="s">
        <v>12</v>
      </c>
      <c r="C102" s="24" t="s">
        <v>13</v>
      </c>
      <c r="D102" s="24">
        <v>3</v>
      </c>
      <c r="E102" s="24">
        <v>365</v>
      </c>
      <c r="F102" s="24">
        <f>IF(B102="Egg Shop","",IF(J102="","",IFERROR(LOOKUP(2,1/(Purchases!$H$3:$H$2002=J102),Purchases!$F$3:$F$2002),"")))</f>
        <v>352</v>
      </c>
      <c r="G102" s="24">
        <f t="shared" si="4"/>
        <v>1095</v>
      </c>
      <c r="H102" s="24">
        <f t="shared" si="5"/>
        <v>1056</v>
      </c>
      <c r="I102" s="24">
        <f t="shared" si="6"/>
        <v>39</v>
      </c>
      <c r="J102" s="24" t="str">
        <f t="shared" si="7"/>
        <v>Akatsi Feed|LM</v>
      </c>
      <c r="K102" s="24" t="s">
        <v>116</v>
      </c>
    </row>
    <row r="103" spans="1:11">
      <c r="A103" s="27">
        <v>46126</v>
      </c>
      <c r="B103" s="24" t="s">
        <v>12</v>
      </c>
      <c r="C103" s="24" t="s">
        <v>17</v>
      </c>
      <c r="D103" s="24">
        <v>2</v>
      </c>
      <c r="E103" s="24">
        <v>350</v>
      </c>
      <c r="F103" s="24">
        <f>IF(B103="Egg Shop","",IF(J103="","",IFERROR(LOOKUP(2,1/(Purchases!$H$3:$H$2002=J103),Purchases!$F$3:$F$2002),"")))</f>
        <v>340</v>
      </c>
      <c r="G103" s="24">
        <f t="shared" si="4"/>
        <v>700</v>
      </c>
      <c r="H103" s="24">
        <f t="shared" si="5"/>
        <v>680</v>
      </c>
      <c r="I103" s="24">
        <f t="shared" si="6"/>
        <v>20</v>
      </c>
      <c r="J103" s="24" t="str">
        <f t="shared" si="7"/>
        <v>Akatsi Feed|GM</v>
      </c>
      <c r="K103" s="24" t="s">
        <v>116</v>
      </c>
    </row>
    <row r="104" spans="1:11">
      <c r="A104" s="27">
        <v>46126</v>
      </c>
      <c r="B104" s="24" t="s">
        <v>12</v>
      </c>
      <c r="C104" s="24" t="s">
        <v>21</v>
      </c>
      <c r="D104" s="24">
        <v>0</v>
      </c>
      <c r="E104" s="24">
        <v>370</v>
      </c>
      <c r="F104" s="24">
        <f>IF(B104="Egg Shop","",IF(J104="","",IFERROR(LOOKUP(2,1/(Purchases!$H$3:$H$2002=J104),Purchases!$F$3:$F$2002),"")))</f>
        <v>357</v>
      </c>
      <c r="G104" s="24">
        <f t="shared" si="4"/>
        <v>0</v>
      </c>
      <c r="H104" s="24">
        <f t="shared" si="5"/>
        <v>0</v>
      </c>
      <c r="I104" s="24">
        <f t="shared" si="6"/>
        <v>0</v>
      </c>
      <c r="J104" s="24" t="str">
        <f t="shared" si="7"/>
        <v>Akatsi Feed|CM</v>
      </c>
      <c r="K104" s="24" t="s">
        <v>116</v>
      </c>
    </row>
    <row r="105" spans="1:11">
      <c r="A105" s="27">
        <v>46126</v>
      </c>
      <c r="B105" s="24" t="s">
        <v>12</v>
      </c>
      <c r="C105" s="24" t="s">
        <v>33</v>
      </c>
      <c r="D105" s="24">
        <v>0</v>
      </c>
      <c r="E105" s="24">
        <v>90</v>
      </c>
      <c r="F105" s="24">
        <f>IF(B105="Egg Shop","",IF(J105="","",IFERROR(LOOKUP(2,1/(Purchases!$H$3:$H$2002=J105),Purchases!$F$3:$F$2002),"")))</f>
        <v>80</v>
      </c>
      <c r="G105" s="24">
        <f t="shared" si="4"/>
        <v>0</v>
      </c>
      <c r="H105" s="24">
        <f t="shared" si="5"/>
        <v>0</v>
      </c>
      <c r="I105" s="24">
        <f t="shared" si="6"/>
        <v>0</v>
      </c>
      <c r="J105" s="24" t="str">
        <f t="shared" si="7"/>
        <v>Akatsi Feed|Crates</v>
      </c>
      <c r="K105" s="24" t="s">
        <v>116</v>
      </c>
    </row>
    <row r="106" spans="1:11">
      <c r="A106" s="27">
        <v>46126</v>
      </c>
      <c r="B106" s="24" t="s">
        <v>16</v>
      </c>
      <c r="C106" s="24" t="s">
        <v>13</v>
      </c>
      <c r="D106" s="24">
        <v>6</v>
      </c>
      <c r="E106" s="24">
        <v>365</v>
      </c>
      <c r="F106" s="24">
        <f>IF(B106="Egg Shop","",IF(J106="","",IFERROR(LOOKUP(2,1/(Purchases!$H$3:$H$2002=J106),Purchases!$F$3:$F$2002),"")))</f>
        <v>352</v>
      </c>
      <c r="G106" s="24">
        <f t="shared" si="4"/>
        <v>2190</v>
      </c>
      <c r="H106" s="24">
        <f t="shared" si="5"/>
        <v>2112</v>
      </c>
      <c r="I106" s="24">
        <f t="shared" si="6"/>
        <v>78</v>
      </c>
      <c r="J106" s="24" t="str">
        <f t="shared" si="7"/>
        <v>Abor Feed|LM</v>
      </c>
      <c r="K106" s="24" t="s">
        <v>116</v>
      </c>
    </row>
    <row r="107" spans="1:11">
      <c r="A107" s="27">
        <v>46126</v>
      </c>
      <c r="B107" s="24" t="s">
        <v>16</v>
      </c>
      <c r="C107" s="24" t="s">
        <v>17</v>
      </c>
      <c r="D107" s="24">
        <v>1</v>
      </c>
      <c r="E107" s="24">
        <v>350</v>
      </c>
      <c r="F107" s="24">
        <f>IF(B107="Egg Shop","",IF(J107="","",IFERROR(LOOKUP(2,1/(Purchases!$H$3:$H$2002=J107),Purchases!$F$3:$F$2002),"")))</f>
        <v>340</v>
      </c>
      <c r="G107" s="24">
        <f t="shared" si="4"/>
        <v>350</v>
      </c>
      <c r="H107" s="24">
        <f t="shared" si="5"/>
        <v>340</v>
      </c>
      <c r="I107" s="24">
        <f t="shared" si="6"/>
        <v>10</v>
      </c>
      <c r="J107" s="24" t="str">
        <f t="shared" si="7"/>
        <v>Abor Feed|GM</v>
      </c>
      <c r="K107" s="24" t="s">
        <v>116</v>
      </c>
    </row>
    <row r="108" spans="1:11">
      <c r="A108" s="27">
        <v>46126</v>
      </c>
      <c r="B108" s="24" t="s">
        <v>24</v>
      </c>
      <c r="C108" s="24" t="s">
        <v>22</v>
      </c>
      <c r="D108" s="24">
        <v>5</v>
      </c>
      <c r="E108" s="24">
        <v>58</v>
      </c>
      <c r="F108" s="24">
        <v>58</v>
      </c>
      <c r="G108" s="24">
        <f t="shared" si="4"/>
        <v>290</v>
      </c>
      <c r="H108" s="24">
        <f t="shared" si="5"/>
        <v>290</v>
      </c>
      <c r="I108" s="24">
        <f t="shared" si="6"/>
        <v>0</v>
      </c>
      <c r="J108" s="24" t="str">
        <f t="shared" si="7"/>
        <v>Egg Shop|Medium</v>
      </c>
      <c r="K108" s="24" t="s">
        <v>116</v>
      </c>
    </row>
    <row r="109" spans="1:11">
      <c r="A109" s="27">
        <v>46126</v>
      </c>
      <c r="B109" s="24" t="s">
        <v>24</v>
      </c>
      <c r="C109" s="24" t="s">
        <v>26</v>
      </c>
      <c r="D109" s="24">
        <v>3.5</v>
      </c>
      <c r="E109" s="24">
        <v>55</v>
      </c>
      <c r="F109" s="24">
        <v>55</v>
      </c>
      <c r="G109" s="24">
        <f t="shared" si="4"/>
        <v>192.5</v>
      </c>
      <c r="H109" s="24">
        <f t="shared" si="5"/>
        <v>192.5</v>
      </c>
      <c r="I109" s="24">
        <f t="shared" si="6"/>
        <v>0</v>
      </c>
      <c r="J109" s="24" t="str">
        <f t="shared" si="7"/>
        <v>Egg Shop|Small</v>
      </c>
      <c r="K109" s="24" t="s">
        <v>116</v>
      </c>
    </row>
    <row r="110" spans="1:11">
      <c r="A110" s="27">
        <v>46126</v>
      </c>
      <c r="B110" s="24" t="s">
        <v>24</v>
      </c>
      <c r="C110" s="24" t="s">
        <v>29</v>
      </c>
      <c r="D110" s="24">
        <v>0</v>
      </c>
      <c r="E110" s="24">
        <v>40</v>
      </c>
      <c r="F110" s="24">
        <v>40</v>
      </c>
      <c r="G110" s="24">
        <f t="shared" si="4"/>
        <v>0</v>
      </c>
      <c r="H110" s="24">
        <f t="shared" si="5"/>
        <v>0</v>
      </c>
      <c r="I110" s="24">
        <f t="shared" si="6"/>
        <v>0</v>
      </c>
      <c r="J110" s="24" t="str">
        <f t="shared" si="7"/>
        <v>Egg Shop|Pullet 1</v>
      </c>
      <c r="K110" s="24" t="s">
        <v>116</v>
      </c>
    </row>
    <row r="111" spans="1:11">
      <c r="A111" s="27">
        <v>46126</v>
      </c>
      <c r="B111" s="24" t="s">
        <v>24</v>
      </c>
      <c r="C111" s="24" t="s">
        <v>31</v>
      </c>
      <c r="D111" s="24">
        <v>0</v>
      </c>
      <c r="E111" s="24">
        <v>35</v>
      </c>
      <c r="F111" s="24">
        <v>35</v>
      </c>
      <c r="G111" s="24">
        <f t="shared" si="4"/>
        <v>0</v>
      </c>
      <c r="H111" s="24">
        <f t="shared" si="5"/>
        <v>0</v>
      </c>
      <c r="I111" s="24">
        <f t="shared" si="6"/>
        <v>0</v>
      </c>
      <c r="J111" s="24" t="str">
        <f t="shared" si="7"/>
        <v>Egg Shop|Pullet 2</v>
      </c>
      <c r="K111" s="24" t="s">
        <v>116</v>
      </c>
    </row>
    <row r="112" spans="1:11">
      <c r="A112" s="27">
        <v>46126</v>
      </c>
      <c r="B112" s="24" t="s">
        <v>24</v>
      </c>
      <c r="C112" s="24" t="s">
        <v>34</v>
      </c>
      <c r="D112" s="24">
        <v>0</v>
      </c>
      <c r="E112" s="24">
        <v>30</v>
      </c>
      <c r="F112" s="24">
        <v>30</v>
      </c>
      <c r="G112" s="24">
        <f t="shared" si="4"/>
        <v>0</v>
      </c>
      <c r="H112" s="24">
        <f t="shared" si="5"/>
        <v>0</v>
      </c>
      <c r="I112" s="24">
        <f t="shared" si="6"/>
        <v>0</v>
      </c>
      <c r="J112" s="24" t="str">
        <f t="shared" si="7"/>
        <v>Egg Shop|Broken</v>
      </c>
      <c r="K112" s="24" t="s">
        <v>116</v>
      </c>
    </row>
    <row r="113" spans="1:11">
      <c r="A113" s="27">
        <v>46127</v>
      </c>
      <c r="B113" s="24" t="s">
        <v>12</v>
      </c>
      <c r="C113" s="24" t="s">
        <v>13</v>
      </c>
      <c r="D113" s="24">
        <v>3</v>
      </c>
      <c r="E113" s="24">
        <v>365</v>
      </c>
      <c r="F113" s="24">
        <f>IF(B113="Egg Shop","",IF(J113="","",IFERROR(LOOKUP(2,1/(Purchases!$H$3:$H$2002=J113),Purchases!$F$3:$F$2002),"")))</f>
        <v>352</v>
      </c>
      <c r="G113" s="24">
        <f t="shared" si="4"/>
        <v>1095</v>
      </c>
      <c r="H113" s="24">
        <f t="shared" si="5"/>
        <v>1056</v>
      </c>
      <c r="I113" s="24">
        <f t="shared" si="6"/>
        <v>39</v>
      </c>
      <c r="J113" s="24" t="str">
        <f t="shared" si="7"/>
        <v>Akatsi Feed|LM</v>
      </c>
      <c r="K113" s="24" t="s">
        <v>116</v>
      </c>
    </row>
    <row r="114" spans="1:11">
      <c r="A114" s="27">
        <v>46128</v>
      </c>
      <c r="B114" s="24" t="s">
        <v>16</v>
      </c>
      <c r="C114" s="24" t="s">
        <v>13</v>
      </c>
      <c r="D114" s="24">
        <v>5</v>
      </c>
      <c r="E114" s="24">
        <v>365</v>
      </c>
      <c r="F114" s="24">
        <f>IF(B114="Egg Shop","",IF(J114="","",IFERROR(LOOKUP(2,1/(Purchases!$H$3:$H$2002=J114),Purchases!$F$3:$F$2002),"")))</f>
        <v>352</v>
      </c>
      <c r="G114" s="24">
        <f t="shared" si="4"/>
        <v>1825</v>
      </c>
      <c r="H114" s="24">
        <f t="shared" si="5"/>
        <v>1760</v>
      </c>
      <c r="I114" s="24">
        <f t="shared" si="6"/>
        <v>65</v>
      </c>
      <c r="J114" s="24" t="str">
        <f t="shared" si="7"/>
        <v>Abor Feed|LM</v>
      </c>
      <c r="K114" s="24" t="s">
        <v>116</v>
      </c>
    </row>
    <row r="115" spans="1:11">
      <c r="A115" s="27">
        <v>46128</v>
      </c>
      <c r="B115" s="24" t="s">
        <v>12</v>
      </c>
      <c r="C115" s="24" t="s">
        <v>13</v>
      </c>
      <c r="D115" s="24">
        <v>5</v>
      </c>
      <c r="E115" s="24">
        <v>365</v>
      </c>
      <c r="F115" s="24">
        <f>IF(B115="Egg Shop","",IF(J115="","",IFERROR(LOOKUP(2,1/(Purchases!$H$3:$H$2002=J115),Purchases!$F$3:$F$2002),"")))</f>
        <v>352</v>
      </c>
      <c r="G115" s="24">
        <f t="shared" si="4"/>
        <v>1825</v>
      </c>
      <c r="H115" s="24">
        <f t="shared" si="5"/>
        <v>1760</v>
      </c>
      <c r="I115" s="24">
        <f t="shared" si="6"/>
        <v>65</v>
      </c>
      <c r="J115" s="24" t="str">
        <f t="shared" si="7"/>
        <v>Akatsi Feed|LM</v>
      </c>
      <c r="K115" s="24" t="s">
        <v>116</v>
      </c>
    </row>
    <row r="116" spans="1:11">
      <c r="A116" s="27">
        <v>46128</v>
      </c>
      <c r="B116" s="24" t="s">
        <v>12</v>
      </c>
      <c r="C116" s="24" t="s">
        <v>17</v>
      </c>
      <c r="D116" s="24">
        <v>1</v>
      </c>
      <c r="E116" s="24">
        <v>350</v>
      </c>
      <c r="F116" s="24">
        <f>IF(B116="Egg Shop","",IF(J116="","",IFERROR(LOOKUP(2,1/(Purchases!$H$3:$H$2002=J116),Purchases!$F$3:$F$2002),"")))</f>
        <v>340</v>
      </c>
      <c r="G116" s="24">
        <f t="shared" si="4"/>
        <v>350</v>
      </c>
      <c r="H116" s="24">
        <f t="shared" si="5"/>
        <v>340</v>
      </c>
      <c r="I116" s="24">
        <f t="shared" si="6"/>
        <v>10</v>
      </c>
      <c r="J116" s="24" t="str">
        <f t="shared" si="7"/>
        <v>Akatsi Feed|GM</v>
      </c>
      <c r="K116" s="24" t="s">
        <v>116</v>
      </c>
    </row>
    <row r="117" spans="1:11">
      <c r="A117" s="27">
        <v>46128</v>
      </c>
      <c r="B117" s="24" t="s">
        <v>12</v>
      </c>
      <c r="C117" s="24" t="s">
        <v>21</v>
      </c>
      <c r="D117" s="24">
        <v>1</v>
      </c>
      <c r="E117" s="24">
        <v>370</v>
      </c>
      <c r="F117" s="24">
        <f>IF(B117="Egg Shop","",IF(J117="","",IFERROR(LOOKUP(2,1/(Purchases!$H$3:$H$2002=J117),Purchases!$F$3:$F$2002),"")))</f>
        <v>357</v>
      </c>
      <c r="G117" s="24">
        <f t="shared" si="4"/>
        <v>370</v>
      </c>
      <c r="H117" s="24">
        <f t="shared" si="5"/>
        <v>357</v>
      </c>
      <c r="I117" s="24">
        <f t="shared" si="6"/>
        <v>13</v>
      </c>
      <c r="J117" s="24" t="str">
        <f t="shared" si="7"/>
        <v>Akatsi Feed|CM</v>
      </c>
      <c r="K117" s="24" t="s">
        <v>116</v>
      </c>
    </row>
    <row r="118" spans="1:11">
      <c r="A118" s="27">
        <v>46128</v>
      </c>
      <c r="B118" s="24" t="s">
        <v>12</v>
      </c>
      <c r="C118" s="24" t="s">
        <v>33</v>
      </c>
      <c r="D118" s="24">
        <v>0</v>
      </c>
      <c r="E118" s="24">
        <v>90</v>
      </c>
      <c r="F118" s="24">
        <f>IF(B118="Egg Shop","",IF(J118="","",IFERROR(LOOKUP(2,1/(Purchases!$H$3:$H$2002=J118),Purchases!$F$3:$F$2002),"")))</f>
        <v>80</v>
      </c>
      <c r="G118" s="24">
        <f t="shared" si="4"/>
        <v>0</v>
      </c>
      <c r="H118" s="24">
        <f t="shared" si="5"/>
        <v>0</v>
      </c>
      <c r="I118" s="24">
        <f t="shared" si="6"/>
        <v>0</v>
      </c>
      <c r="J118" s="24" t="str">
        <f t="shared" si="7"/>
        <v>Akatsi Feed|Crates</v>
      </c>
      <c r="K118" s="24" t="s">
        <v>116</v>
      </c>
    </row>
    <row r="119" spans="1:11">
      <c r="A119" s="27">
        <v>46129</v>
      </c>
      <c r="B119" s="24" t="s">
        <v>16</v>
      </c>
      <c r="C119" s="24" t="s">
        <v>13</v>
      </c>
      <c r="D119" s="24">
        <v>4</v>
      </c>
      <c r="E119" s="24">
        <v>365</v>
      </c>
      <c r="F119" s="24">
        <f>IF(B119="Egg Shop","",IF(J119="","",IFERROR(LOOKUP(2,1/(Purchases!$H$3:$H$2002=J119),Purchases!$F$3:$F$2002),"")))</f>
        <v>352</v>
      </c>
      <c r="G119" s="24">
        <f t="shared" si="4"/>
        <v>1460</v>
      </c>
      <c r="H119" s="24">
        <f t="shared" si="5"/>
        <v>1408</v>
      </c>
      <c r="I119" s="24">
        <f t="shared" si="6"/>
        <v>52</v>
      </c>
      <c r="J119" s="24" t="str">
        <f t="shared" si="7"/>
        <v>Abor Feed|LM</v>
      </c>
      <c r="K119" s="24" t="s">
        <v>116</v>
      </c>
    </row>
    <row r="120" spans="1:11">
      <c r="A120" s="27">
        <v>46130</v>
      </c>
      <c r="B120" s="24" t="s">
        <v>16</v>
      </c>
      <c r="C120" s="24" t="s">
        <v>13</v>
      </c>
      <c r="D120" s="24">
        <v>10</v>
      </c>
      <c r="E120" s="24">
        <v>365</v>
      </c>
      <c r="F120" s="24">
        <f>IF(B120="Egg Shop","",IF(J120="","",IFERROR(LOOKUP(2,1/(Purchases!$H$3:$H$2002=J120),Purchases!$F$3:$F$2002),"")))</f>
        <v>352</v>
      </c>
      <c r="G120" s="24">
        <f t="shared" si="4"/>
        <v>3650</v>
      </c>
      <c r="H120" s="24">
        <f t="shared" si="5"/>
        <v>3520</v>
      </c>
      <c r="I120" s="24">
        <f t="shared" si="6"/>
        <v>130</v>
      </c>
      <c r="J120" s="24" t="str">
        <f t="shared" si="7"/>
        <v>Abor Feed|LM</v>
      </c>
      <c r="K120" s="24" t="s">
        <v>116</v>
      </c>
    </row>
    <row r="121" spans="1:11">
      <c r="A121" s="27">
        <v>46132</v>
      </c>
      <c r="B121" s="24" t="s">
        <v>16</v>
      </c>
      <c r="C121" s="24" t="s">
        <v>17</v>
      </c>
      <c r="D121" s="24">
        <v>1</v>
      </c>
      <c r="E121" s="24">
        <v>355</v>
      </c>
      <c r="F121" s="24">
        <f>IF(B121="Egg Shop","",IF(J121="","",IFERROR(LOOKUP(2,1/(Purchases!$H$3:$H$2002=J121),Purchases!$F$3:$F$2002),"")))</f>
        <v>340</v>
      </c>
      <c r="G121" s="24">
        <f t="shared" si="4"/>
        <v>355</v>
      </c>
      <c r="H121" s="24">
        <f t="shared" si="5"/>
        <v>340</v>
      </c>
      <c r="I121" s="24">
        <f t="shared" si="6"/>
        <v>15</v>
      </c>
      <c r="J121" s="24" t="str">
        <f t="shared" si="7"/>
        <v>Abor Feed|GM</v>
      </c>
      <c r="K121" s="24" t="s">
        <v>116</v>
      </c>
    </row>
    <row r="122" spans="1:11">
      <c r="A122" s="27">
        <v>46133</v>
      </c>
      <c r="B122" s="24" t="s">
        <v>16</v>
      </c>
      <c r="C122" s="24" t="s">
        <v>13</v>
      </c>
      <c r="D122" s="24">
        <v>2</v>
      </c>
      <c r="E122" s="24">
        <v>365</v>
      </c>
      <c r="F122" s="24">
        <f>IF(B122="Egg Shop","",IF(J122="","",IFERROR(LOOKUP(2,1/(Purchases!$H$3:$H$2002=J122),Purchases!$F$3:$F$2002),"")))</f>
        <v>352</v>
      </c>
      <c r="G122" s="24">
        <f t="shared" si="4"/>
        <v>730</v>
      </c>
      <c r="H122" s="24">
        <f t="shared" si="5"/>
        <v>704</v>
      </c>
      <c r="I122" s="24">
        <f t="shared" si="6"/>
        <v>26</v>
      </c>
      <c r="J122" s="24" t="str">
        <f t="shared" si="7"/>
        <v>Abor Feed|LM</v>
      </c>
      <c r="K122" s="24" t="s">
        <v>116</v>
      </c>
    </row>
    <row r="123" spans="1:11">
      <c r="A123" s="27">
        <v>46133</v>
      </c>
      <c r="B123" s="24" t="s">
        <v>16</v>
      </c>
      <c r="C123" s="24" t="s">
        <v>17</v>
      </c>
      <c r="D123" s="24">
        <v>2</v>
      </c>
      <c r="E123" s="24">
        <v>355</v>
      </c>
      <c r="F123" s="24">
        <f>IF(B123="Egg Shop","",IF(J123="","",IFERROR(LOOKUP(2,1/(Purchases!$H$3:$H$2002=J123),Purchases!$F$3:$F$2002),"")))</f>
        <v>340</v>
      </c>
      <c r="G123" s="24">
        <f t="shared" si="4"/>
        <v>710</v>
      </c>
      <c r="H123" s="24">
        <f t="shared" si="5"/>
        <v>680</v>
      </c>
      <c r="I123" s="24">
        <f t="shared" si="6"/>
        <v>30</v>
      </c>
      <c r="J123" s="24" t="str">
        <f t="shared" si="7"/>
        <v>Abor Feed|GM</v>
      </c>
      <c r="K123" s="24" t="s">
        <v>116</v>
      </c>
    </row>
    <row r="124" spans="1:11">
      <c r="A124" s="27">
        <v>46134</v>
      </c>
      <c r="B124" s="24" t="s">
        <v>16</v>
      </c>
      <c r="C124" s="24" t="s">
        <v>13</v>
      </c>
      <c r="D124" s="24">
        <v>2</v>
      </c>
      <c r="E124" s="24">
        <v>365</v>
      </c>
      <c r="F124" s="24">
        <f>IF(B124="Egg Shop","",IF(J124="","",IFERROR(LOOKUP(2,1/(Purchases!$H$3:$H$2002=J124),Purchases!$F$3:$F$2002),"")))</f>
        <v>352</v>
      </c>
      <c r="G124" s="24">
        <f t="shared" si="4"/>
        <v>730</v>
      </c>
      <c r="H124" s="24">
        <f t="shared" si="5"/>
        <v>704</v>
      </c>
      <c r="I124" s="24">
        <f t="shared" si="6"/>
        <v>26</v>
      </c>
      <c r="J124" s="24" t="str">
        <f t="shared" si="7"/>
        <v>Abor Feed|LM</v>
      </c>
      <c r="K124" s="24" t="s">
        <v>116</v>
      </c>
    </row>
    <row r="125" spans="1:11">
      <c r="A125" s="27">
        <v>46129</v>
      </c>
      <c r="B125" s="24" t="s">
        <v>12</v>
      </c>
      <c r="C125" s="24" t="s">
        <v>13</v>
      </c>
      <c r="D125" s="24">
        <v>6</v>
      </c>
      <c r="E125" s="24">
        <v>365</v>
      </c>
      <c r="F125" s="24">
        <f>IF(B125="Egg Shop","",IF(J125="","",IFERROR(LOOKUP(2,1/(Purchases!$H$3:$H$2002=J125),Purchases!$F$3:$F$2002),"")))</f>
        <v>352</v>
      </c>
      <c r="G125" s="24">
        <f t="shared" si="4"/>
        <v>2190</v>
      </c>
      <c r="H125" s="24">
        <f t="shared" si="5"/>
        <v>2112</v>
      </c>
      <c r="I125" s="24">
        <f t="shared" si="6"/>
        <v>78</v>
      </c>
      <c r="J125" s="24" t="str">
        <f t="shared" si="7"/>
        <v>Akatsi Feed|LM</v>
      </c>
      <c r="K125" s="24" t="s">
        <v>116</v>
      </c>
    </row>
    <row r="126" spans="1:11">
      <c r="A126" s="27">
        <v>46129</v>
      </c>
      <c r="B126" s="24" t="s">
        <v>12</v>
      </c>
      <c r="C126" s="24" t="s">
        <v>33</v>
      </c>
      <c r="D126" s="24">
        <v>3</v>
      </c>
      <c r="E126" s="24">
        <v>90</v>
      </c>
      <c r="F126" s="24">
        <f>IF(B126="Egg Shop","",IF(J126="","",IFERROR(LOOKUP(2,1/(Purchases!$H$3:$H$2002=J126),Purchases!$F$3:$F$2002),"")))</f>
        <v>80</v>
      </c>
      <c r="G126" s="24">
        <f t="shared" si="4"/>
        <v>270</v>
      </c>
      <c r="H126" s="24">
        <f t="shared" si="5"/>
        <v>240</v>
      </c>
      <c r="I126" s="24">
        <f t="shared" si="6"/>
        <v>30</v>
      </c>
      <c r="J126" s="24" t="str">
        <f t="shared" si="7"/>
        <v>Akatsi Feed|Crates</v>
      </c>
      <c r="K126" s="24" t="s">
        <v>116</v>
      </c>
    </row>
    <row r="127" spans="1:11">
      <c r="A127" s="27">
        <v>46130</v>
      </c>
      <c r="B127" s="24" t="s">
        <v>12</v>
      </c>
      <c r="C127" s="24" t="s">
        <v>13</v>
      </c>
      <c r="D127" s="24">
        <v>3</v>
      </c>
      <c r="E127" s="24">
        <v>365</v>
      </c>
      <c r="F127" s="24">
        <f>IF(B127="Egg Shop","",IF(J127="","",IFERROR(LOOKUP(2,1/(Purchases!$H$3:$H$2002=J127),Purchases!$F$3:$F$2002),"")))</f>
        <v>352</v>
      </c>
      <c r="G127" s="24">
        <f t="shared" si="4"/>
        <v>1095</v>
      </c>
      <c r="H127" s="24">
        <f t="shared" si="5"/>
        <v>1056</v>
      </c>
      <c r="I127" s="24">
        <f t="shared" si="6"/>
        <v>39</v>
      </c>
      <c r="J127" s="24" t="str">
        <f t="shared" si="7"/>
        <v>Akatsi Feed|LM</v>
      </c>
      <c r="K127" s="24" t="s">
        <v>116</v>
      </c>
    </row>
    <row r="128" spans="1:11">
      <c r="A128" s="27">
        <v>46130</v>
      </c>
      <c r="B128" s="24" t="s">
        <v>12</v>
      </c>
      <c r="C128" s="24" t="s">
        <v>21</v>
      </c>
      <c r="D128" s="24">
        <v>1</v>
      </c>
      <c r="E128" s="24">
        <v>370</v>
      </c>
      <c r="F128" s="24">
        <f>IF(B128="Egg Shop","",IF(J128="","",IFERROR(LOOKUP(2,1/(Purchases!$H$3:$H$2002=J128),Purchases!$F$3:$F$2002),"")))</f>
        <v>357</v>
      </c>
      <c r="G128" s="24">
        <f t="shared" si="4"/>
        <v>370</v>
      </c>
      <c r="H128" s="24">
        <f t="shared" si="5"/>
        <v>357</v>
      </c>
      <c r="I128" s="24">
        <f t="shared" si="6"/>
        <v>13</v>
      </c>
      <c r="J128" s="24" t="str">
        <f t="shared" si="7"/>
        <v>Akatsi Feed|CM</v>
      </c>
      <c r="K128" s="24" t="s">
        <v>116</v>
      </c>
    </row>
    <row r="129" spans="1:11">
      <c r="A129" s="27">
        <v>46132</v>
      </c>
      <c r="B129" s="24" t="s">
        <v>12</v>
      </c>
      <c r="C129" s="24" t="s">
        <v>13</v>
      </c>
      <c r="D129" s="24">
        <v>9</v>
      </c>
      <c r="E129" s="24">
        <v>365</v>
      </c>
      <c r="F129" s="24">
        <f>IF(B129="Egg Shop","",IF(J129="","",IFERROR(LOOKUP(2,1/(Purchases!$H$3:$H$2002=J129),Purchases!$F$3:$F$2002),"")))</f>
        <v>352</v>
      </c>
      <c r="G129" s="24">
        <f t="shared" si="4"/>
        <v>3285</v>
      </c>
      <c r="H129" s="24">
        <f t="shared" si="5"/>
        <v>3168</v>
      </c>
      <c r="I129" s="24">
        <f t="shared" si="6"/>
        <v>117</v>
      </c>
      <c r="J129" s="24" t="str">
        <f t="shared" si="7"/>
        <v>Akatsi Feed|LM</v>
      </c>
      <c r="K129" s="24" t="s">
        <v>116</v>
      </c>
    </row>
    <row r="130" spans="1:11">
      <c r="A130" s="27">
        <v>46132</v>
      </c>
      <c r="B130" s="24" t="s">
        <v>12</v>
      </c>
      <c r="C130" s="24" t="s">
        <v>17</v>
      </c>
      <c r="D130" s="24">
        <v>4</v>
      </c>
      <c r="E130" s="24">
        <v>350</v>
      </c>
      <c r="F130" s="24">
        <f>IF(B130="Egg Shop","",IF(J130="","",IFERROR(LOOKUP(2,1/(Purchases!$H$3:$H$2002=J130),Purchases!$F$3:$F$2002),"")))</f>
        <v>340</v>
      </c>
      <c r="G130" s="24">
        <f t="shared" si="4"/>
        <v>1400</v>
      </c>
      <c r="H130" s="24">
        <f t="shared" si="5"/>
        <v>1360</v>
      </c>
      <c r="I130" s="24">
        <f t="shared" si="6"/>
        <v>40</v>
      </c>
      <c r="J130" s="24" t="str">
        <f t="shared" si="7"/>
        <v>Akatsi Feed|GM</v>
      </c>
      <c r="K130" s="24" t="s">
        <v>116</v>
      </c>
    </row>
    <row r="131" spans="1:11">
      <c r="A131" s="27">
        <v>46132</v>
      </c>
      <c r="B131" s="24" t="s">
        <v>12</v>
      </c>
      <c r="C131" s="24" t="s">
        <v>21</v>
      </c>
      <c r="D131" s="24">
        <v>1</v>
      </c>
      <c r="E131" s="24">
        <v>370</v>
      </c>
      <c r="F131" s="24">
        <f>IF(B131="Egg Shop","",IF(J131="","",IFERROR(LOOKUP(2,1/(Purchases!$H$3:$H$2002=J131),Purchases!$F$3:$F$2002),"")))</f>
        <v>357</v>
      </c>
      <c r="G131" s="24">
        <f t="shared" ref="G131:G194" si="8">IF(OR(D131="",E131=""),"",D131*E131)</f>
        <v>370</v>
      </c>
      <c r="H131" s="24">
        <f t="shared" ref="H131:H194" si="9">IF(OR(D131="",F131=""),"",D131*F131)</f>
        <v>357</v>
      </c>
      <c r="I131" s="24">
        <f t="shared" ref="I131:I194" si="10">IF(OR(G131="",H131=""),"",G131-H131)</f>
        <v>13</v>
      </c>
      <c r="J131" s="24" t="str">
        <f t="shared" ref="J131:J194" si="11">IF(OR(B131="",C131=""),"",B131&amp;"|"&amp;C131)</f>
        <v>Akatsi Feed|CM</v>
      </c>
      <c r="K131" s="24" t="s">
        <v>116</v>
      </c>
    </row>
    <row r="132" spans="1:11">
      <c r="A132" s="27">
        <v>46132</v>
      </c>
      <c r="B132" s="24" t="s">
        <v>12</v>
      </c>
      <c r="C132" s="24" t="s">
        <v>33</v>
      </c>
      <c r="D132" s="24">
        <v>1</v>
      </c>
      <c r="E132" s="24">
        <v>90</v>
      </c>
      <c r="F132" s="24">
        <f>IF(B132="Egg Shop","",IF(J132="","",IFERROR(LOOKUP(2,1/(Purchases!$H$3:$H$2002=J132),Purchases!$F$3:$F$2002),"")))</f>
        <v>80</v>
      </c>
      <c r="G132" s="24">
        <f t="shared" si="8"/>
        <v>90</v>
      </c>
      <c r="H132" s="24">
        <f t="shared" si="9"/>
        <v>80</v>
      </c>
      <c r="I132" s="24">
        <f t="shared" si="10"/>
        <v>10</v>
      </c>
      <c r="J132" s="24" t="str">
        <f t="shared" si="11"/>
        <v>Akatsi Feed|Crates</v>
      </c>
      <c r="K132" s="24" t="s">
        <v>116</v>
      </c>
    </row>
    <row r="133" spans="1:11">
      <c r="A133" s="27">
        <v>46133</v>
      </c>
      <c r="B133" s="24" t="s">
        <v>12</v>
      </c>
      <c r="C133" s="24" t="s">
        <v>13</v>
      </c>
      <c r="D133" s="24">
        <v>4</v>
      </c>
      <c r="E133" s="24">
        <v>365</v>
      </c>
      <c r="F133" s="24">
        <f>IF(B133="Egg Shop","",IF(J133="","",IFERROR(LOOKUP(2,1/(Purchases!$H$3:$H$2002=J133),Purchases!$F$3:$F$2002),"")))</f>
        <v>352</v>
      </c>
      <c r="G133" s="24">
        <f t="shared" si="8"/>
        <v>1460</v>
      </c>
      <c r="H133" s="24">
        <f t="shared" si="9"/>
        <v>1408</v>
      </c>
      <c r="I133" s="24">
        <f t="shared" si="10"/>
        <v>52</v>
      </c>
      <c r="J133" s="24" t="str">
        <f t="shared" si="11"/>
        <v>Akatsi Feed|LM</v>
      </c>
      <c r="K133" s="24" t="s">
        <v>116</v>
      </c>
    </row>
    <row r="134" spans="1:11">
      <c r="A134" s="27">
        <v>46133</v>
      </c>
      <c r="B134" s="24" t="s">
        <v>12</v>
      </c>
      <c r="C134" s="24" t="s">
        <v>33</v>
      </c>
      <c r="D134" s="24">
        <v>6</v>
      </c>
      <c r="E134" s="24">
        <v>90</v>
      </c>
      <c r="F134" s="24">
        <f>IF(B134="Egg Shop","",IF(J134="","",IFERROR(LOOKUP(2,1/(Purchases!$H$3:$H$2002=J134),Purchases!$F$3:$F$2002),"")))</f>
        <v>80</v>
      </c>
      <c r="G134" s="24">
        <f t="shared" si="8"/>
        <v>540</v>
      </c>
      <c r="H134" s="24">
        <f t="shared" si="9"/>
        <v>480</v>
      </c>
      <c r="I134" s="24">
        <f t="shared" si="10"/>
        <v>60</v>
      </c>
      <c r="J134" s="24" t="str">
        <f t="shared" si="11"/>
        <v>Akatsi Feed|Crates</v>
      </c>
      <c r="K134" s="24" t="s">
        <v>116</v>
      </c>
    </row>
    <row r="135" spans="1:11">
      <c r="A135" s="27">
        <v>46134</v>
      </c>
      <c r="B135" s="24" t="s">
        <v>12</v>
      </c>
      <c r="C135" s="24" t="s">
        <v>13</v>
      </c>
      <c r="D135" s="24">
        <v>19</v>
      </c>
      <c r="E135" s="24">
        <v>365</v>
      </c>
      <c r="F135" s="24">
        <f>IF(B135="Egg Shop","",IF(J135="","",IFERROR(LOOKUP(2,1/(Purchases!$H$3:$H$2002=J135),Purchases!$F$3:$F$2002),"")))</f>
        <v>352</v>
      </c>
      <c r="G135" s="24">
        <f t="shared" si="8"/>
        <v>6935</v>
      </c>
      <c r="H135" s="24">
        <f t="shared" si="9"/>
        <v>6688</v>
      </c>
      <c r="I135" s="24">
        <f t="shared" si="10"/>
        <v>247</v>
      </c>
      <c r="J135" s="24" t="str">
        <f t="shared" si="11"/>
        <v>Akatsi Feed|LM</v>
      </c>
      <c r="K135" s="24" t="s">
        <v>116</v>
      </c>
    </row>
    <row r="136" spans="1:11">
      <c r="A136" s="27">
        <v>46135</v>
      </c>
      <c r="B136" s="24" t="s">
        <v>12</v>
      </c>
      <c r="C136" s="24" t="s">
        <v>13</v>
      </c>
      <c r="D136" s="24">
        <v>6</v>
      </c>
      <c r="E136" s="24">
        <v>365</v>
      </c>
      <c r="F136" s="24">
        <f>IF(B136="Egg Shop","",IF(J136="","",IFERROR(LOOKUP(2,1/(Purchases!$H$3:$H$2002=J136),Purchases!$F$3:$F$2002),"")))</f>
        <v>352</v>
      </c>
      <c r="G136" s="24">
        <f t="shared" si="8"/>
        <v>2190</v>
      </c>
      <c r="H136" s="24">
        <f t="shared" si="9"/>
        <v>2112</v>
      </c>
      <c r="I136" s="24">
        <f t="shared" si="10"/>
        <v>78</v>
      </c>
      <c r="J136" s="24" t="str">
        <f t="shared" si="11"/>
        <v>Akatsi Feed|LM</v>
      </c>
      <c r="K136" s="24" t="s">
        <v>116</v>
      </c>
    </row>
    <row r="137" spans="1:11">
      <c r="A137" s="27">
        <v>46135</v>
      </c>
      <c r="B137" s="24" t="s">
        <v>12</v>
      </c>
      <c r="C137" s="24" t="s">
        <v>13</v>
      </c>
      <c r="D137" s="24">
        <v>9</v>
      </c>
      <c r="E137" s="24">
        <v>365</v>
      </c>
      <c r="F137" s="24">
        <f>IF(B137="Egg Shop","",IF(J137="","",IFERROR(LOOKUP(2,1/(Purchases!$H$3:$H$2002=J137),Purchases!$F$3:$F$2002),"")))</f>
        <v>352</v>
      </c>
      <c r="G137" s="24">
        <f t="shared" si="8"/>
        <v>3285</v>
      </c>
      <c r="H137" s="24">
        <f t="shared" si="9"/>
        <v>3168</v>
      </c>
      <c r="I137" s="24">
        <f t="shared" si="10"/>
        <v>117</v>
      </c>
      <c r="J137" s="24" t="str">
        <f t="shared" si="11"/>
        <v>Akatsi Feed|LM</v>
      </c>
      <c r="K137" s="24" t="s">
        <v>116</v>
      </c>
    </row>
    <row r="138" spans="1:11">
      <c r="A138" s="27">
        <v>46135</v>
      </c>
      <c r="B138" s="24" t="s">
        <v>12</v>
      </c>
      <c r="C138" s="24" t="s">
        <v>21</v>
      </c>
      <c r="D138" s="24">
        <v>1</v>
      </c>
      <c r="E138" s="24">
        <v>370</v>
      </c>
      <c r="F138" s="24">
        <f>IF(B138="Egg Shop","",IF(J138="","",IFERROR(LOOKUP(2,1/(Purchases!$H$3:$H$2002=J138),Purchases!$F$3:$F$2002),"")))</f>
        <v>357</v>
      </c>
      <c r="G138" s="24">
        <f t="shared" si="8"/>
        <v>370</v>
      </c>
      <c r="H138" s="24">
        <f t="shared" si="9"/>
        <v>357</v>
      </c>
      <c r="I138" s="24">
        <f t="shared" si="10"/>
        <v>13</v>
      </c>
      <c r="J138" s="24" t="str">
        <f t="shared" si="11"/>
        <v>Akatsi Feed|CM</v>
      </c>
      <c r="K138" s="24" t="s">
        <v>116</v>
      </c>
    </row>
    <row r="139" spans="1:11">
      <c r="A139" s="27">
        <v>46135</v>
      </c>
      <c r="B139" s="24" t="s">
        <v>16</v>
      </c>
      <c r="C139" s="24" t="s">
        <v>13</v>
      </c>
      <c r="D139" s="24">
        <v>3</v>
      </c>
      <c r="E139" s="24">
        <v>365</v>
      </c>
      <c r="F139" s="24">
        <f>IF(B139="Egg Shop","",IF(J139="","",IFERROR(LOOKUP(2,1/(Purchases!$H$3:$H$2002=J139),Purchases!$F$3:$F$2002),"")))</f>
        <v>352</v>
      </c>
      <c r="G139" s="24">
        <f t="shared" si="8"/>
        <v>1095</v>
      </c>
      <c r="H139" s="24">
        <f t="shared" si="9"/>
        <v>1056</v>
      </c>
      <c r="I139" s="24">
        <f t="shared" si="10"/>
        <v>39</v>
      </c>
      <c r="J139" s="24" t="str">
        <f t="shared" si="11"/>
        <v>Abor Feed|LM</v>
      </c>
      <c r="K139" s="24" t="s">
        <v>116</v>
      </c>
    </row>
    <row r="140" spans="1:11">
      <c r="A140" s="27">
        <v>46135</v>
      </c>
      <c r="B140" s="24" t="s">
        <v>20</v>
      </c>
      <c r="C140" s="24" t="s">
        <v>13</v>
      </c>
      <c r="D140" s="24">
        <v>60</v>
      </c>
      <c r="E140" s="24">
        <v>357</v>
      </c>
      <c r="F140" s="24">
        <f>IF(B140="Egg Shop","",IF(J140="","",IFERROR(LOOKUP(2,1/(Purchases!$H$3:$H$2002=J140),Purchases!$F$3:$F$2002),"")))</f>
        <v>352</v>
      </c>
      <c r="G140" s="24">
        <f t="shared" si="8"/>
        <v>21420</v>
      </c>
      <c r="H140" s="24">
        <f t="shared" si="9"/>
        <v>21120</v>
      </c>
      <c r="I140" s="24">
        <f t="shared" si="10"/>
        <v>300</v>
      </c>
      <c r="J140" s="24" t="str">
        <f t="shared" si="11"/>
        <v>Mobile Shop|LM</v>
      </c>
      <c r="K140" s="24" t="s">
        <v>116</v>
      </c>
    </row>
    <row r="141" spans="1:11">
      <c r="A141" s="27">
        <v>46135</v>
      </c>
      <c r="B141" s="24" t="s">
        <v>20</v>
      </c>
      <c r="C141" s="24" t="s">
        <v>106</v>
      </c>
      <c r="D141" s="24">
        <v>14</v>
      </c>
      <c r="E141" s="24">
        <v>580</v>
      </c>
      <c r="F141" s="24">
        <f>IF(B141="Egg Shop","",IF(J141="","",IFERROR(LOOKUP(2,1/(Purchases!$H$3:$H$2002=J141),Purchases!$F$3:$F$2002),"")))</f>
        <v>570</v>
      </c>
      <c r="G141" s="24">
        <f t="shared" si="8"/>
        <v>8120</v>
      </c>
      <c r="H141" s="24">
        <f t="shared" si="9"/>
        <v>7980</v>
      </c>
      <c r="I141" s="24">
        <f t="shared" si="10"/>
        <v>140</v>
      </c>
      <c r="J141" s="24" t="str">
        <f t="shared" si="11"/>
        <v>Mobile Shop|Layer Conc 20%</v>
      </c>
      <c r="K141" s="24" t="s">
        <v>116</v>
      </c>
    </row>
    <row r="142" spans="1:11">
      <c r="A142" s="27">
        <v>46135</v>
      </c>
      <c r="B142" s="24" t="s">
        <v>20</v>
      </c>
      <c r="C142" s="24" t="s">
        <v>108</v>
      </c>
      <c r="D142" s="24">
        <v>2</v>
      </c>
      <c r="E142" s="24">
        <v>780</v>
      </c>
      <c r="F142" s="24">
        <f>IF(B142="Egg Shop","",IF(J142="","",IFERROR(LOOKUP(2,1/(Purchases!$H$3:$H$2002=J142),Purchases!$F$3:$F$2002),"")))</f>
        <v>770</v>
      </c>
      <c r="G142" s="24">
        <f t="shared" si="8"/>
        <v>1560</v>
      </c>
      <c r="H142" s="24">
        <f t="shared" si="9"/>
        <v>1540</v>
      </c>
      <c r="I142" s="24">
        <f t="shared" si="10"/>
        <v>20</v>
      </c>
      <c r="J142" s="24" t="str">
        <f t="shared" si="11"/>
        <v>Mobile Shop|Intraco Conc 5%</v>
      </c>
      <c r="K142" s="24" t="s">
        <v>116</v>
      </c>
    </row>
    <row r="143" spans="1:11">
      <c r="A143" s="27">
        <v>46135</v>
      </c>
      <c r="B143" s="24" t="s">
        <v>16</v>
      </c>
      <c r="C143" s="24" t="s">
        <v>17</v>
      </c>
      <c r="D143" s="24">
        <v>2</v>
      </c>
      <c r="E143" s="24">
        <v>350</v>
      </c>
      <c r="F143" s="24">
        <f>IF(B143="Egg Shop","",IF(J143="","",IFERROR(LOOKUP(2,1/(Purchases!$H$3:$H$2002=J143),Purchases!$F$3:$F$2002),"")))</f>
        <v>340</v>
      </c>
      <c r="G143" s="24">
        <f t="shared" si="8"/>
        <v>700</v>
      </c>
      <c r="H143" s="24">
        <f t="shared" si="9"/>
        <v>680</v>
      </c>
      <c r="I143" s="24">
        <f t="shared" si="10"/>
        <v>20</v>
      </c>
      <c r="J143" s="24" t="str">
        <f t="shared" si="11"/>
        <v>Abor Feed|GM</v>
      </c>
      <c r="K143" s="24" t="s">
        <v>116</v>
      </c>
    </row>
    <row r="144" spans="1:11">
      <c r="A144" s="27">
        <v>46136</v>
      </c>
      <c r="B144" s="24" t="s">
        <v>12</v>
      </c>
      <c r="C144" s="24" t="s">
        <v>13</v>
      </c>
      <c r="D144" s="24">
        <v>5</v>
      </c>
      <c r="E144" s="24">
        <v>365</v>
      </c>
      <c r="F144" s="24">
        <f>IF(B144="Egg Shop","",IF(J144="","",IFERROR(LOOKUP(2,1/(Purchases!$H$3:$H$2002=J144),Purchases!$F$3:$F$2002),"")))</f>
        <v>352</v>
      </c>
      <c r="G144" s="24">
        <f t="shared" si="8"/>
        <v>1825</v>
      </c>
      <c r="H144" s="24">
        <f t="shared" si="9"/>
        <v>1760</v>
      </c>
      <c r="I144" s="24">
        <f t="shared" si="10"/>
        <v>65</v>
      </c>
      <c r="J144" s="24" t="str">
        <f t="shared" si="11"/>
        <v>Akatsi Feed|LM</v>
      </c>
      <c r="K144" s="24" t="s">
        <v>116</v>
      </c>
    </row>
    <row r="145" spans="1:11">
      <c r="A145" s="27">
        <v>46136</v>
      </c>
      <c r="B145" s="24" t="s">
        <v>12</v>
      </c>
      <c r="C145" s="24" t="s">
        <v>17</v>
      </c>
      <c r="D145" s="24">
        <v>1</v>
      </c>
      <c r="E145" s="24">
        <v>350</v>
      </c>
      <c r="F145" s="24">
        <f>IF(B145="Egg Shop","",IF(J145="","",IFERROR(LOOKUP(2,1/(Purchases!$H$3:$H$2002=J145),Purchases!$F$3:$F$2002),"")))</f>
        <v>340</v>
      </c>
      <c r="G145" s="24">
        <f t="shared" si="8"/>
        <v>350</v>
      </c>
      <c r="H145" s="24">
        <f t="shared" si="9"/>
        <v>340</v>
      </c>
      <c r="I145" s="24">
        <f t="shared" si="10"/>
        <v>10</v>
      </c>
      <c r="J145" s="24" t="str">
        <f t="shared" si="11"/>
        <v>Akatsi Feed|GM</v>
      </c>
      <c r="K145" s="24" t="s">
        <v>116</v>
      </c>
    </row>
    <row r="146" spans="1:11">
      <c r="A146" s="42">
        <v>46136</v>
      </c>
      <c r="B146" s="43" t="s">
        <v>12</v>
      </c>
      <c r="C146" s="43" t="s">
        <v>21</v>
      </c>
      <c r="D146" s="43">
        <v>1</v>
      </c>
      <c r="E146" s="43">
        <v>370</v>
      </c>
      <c r="F146" s="43">
        <f>IF(B146="Egg Shop","",IF(J146="","",IFERROR(LOOKUP(2,1/(Purchases!$H$3:$H$2002=J146),Purchases!$F$3:$F$2002),"")))</f>
        <v>357</v>
      </c>
      <c r="G146" s="43">
        <f t="shared" si="8"/>
        <v>370</v>
      </c>
      <c r="H146" s="43">
        <f t="shared" si="9"/>
        <v>357</v>
      </c>
      <c r="I146" s="43">
        <f t="shared" si="10"/>
        <v>13</v>
      </c>
      <c r="J146" s="43" t="str">
        <f t="shared" si="11"/>
        <v>Akatsi Feed|CM</v>
      </c>
      <c r="K146" s="43" t="str">
        <f t="shared" ref="K146:K209" si="12">IF(A146&lt;&gt;"","Cash","")</f>
        <v>Cash</v>
      </c>
    </row>
    <row r="147" spans="1:11">
      <c r="A147" s="42">
        <v>46136</v>
      </c>
      <c r="B147" s="43" t="s">
        <v>12</v>
      </c>
      <c r="C147" s="43" t="s">
        <v>33</v>
      </c>
      <c r="D147" s="43">
        <v>1</v>
      </c>
      <c r="E147" s="43">
        <v>90</v>
      </c>
      <c r="F147" s="43">
        <f>IF(B147="Egg Shop","",IF(J147="","",IFERROR(LOOKUP(2,1/(Purchases!$H$3:$H$2002=J147),Purchases!$F$3:$F$2002),"")))</f>
        <v>80</v>
      </c>
      <c r="G147" s="43">
        <f t="shared" si="8"/>
        <v>90</v>
      </c>
      <c r="H147" s="43">
        <f t="shared" si="9"/>
        <v>80</v>
      </c>
      <c r="I147" s="43">
        <f t="shared" si="10"/>
        <v>10</v>
      </c>
      <c r="J147" s="43" t="str">
        <f t="shared" si="11"/>
        <v>Akatsi Feed|Crates</v>
      </c>
      <c r="K147" s="43" t="str">
        <f t="shared" si="12"/>
        <v>Cash</v>
      </c>
    </row>
    <row r="148" spans="1:11">
      <c r="A148" s="42">
        <v>46137</v>
      </c>
      <c r="B148" s="24" t="s">
        <v>12</v>
      </c>
      <c r="C148" s="24" t="s">
        <v>13</v>
      </c>
      <c r="D148" s="24">
        <v>15</v>
      </c>
      <c r="E148" s="24">
        <v>365</v>
      </c>
      <c r="F148" s="43">
        <f>IF(B148="Egg Shop","",IF(J148="","",IFERROR(LOOKUP(2,1/(Purchases!$H$3:$H$2002=J148),Purchases!$F$3:$F$2002),"")))</f>
        <v>352</v>
      </c>
      <c r="G148" s="43">
        <f t="shared" si="8"/>
        <v>5475</v>
      </c>
      <c r="H148" s="43">
        <f t="shared" si="9"/>
        <v>5280</v>
      </c>
      <c r="I148" s="43">
        <f t="shared" si="10"/>
        <v>195</v>
      </c>
      <c r="J148" s="43" t="str">
        <f t="shared" si="11"/>
        <v>Akatsi Feed|LM</v>
      </c>
      <c r="K148" s="43" t="str">
        <f t="shared" si="12"/>
        <v>Cash</v>
      </c>
    </row>
    <row r="149" spans="1:11">
      <c r="A149" s="42">
        <v>46137</v>
      </c>
      <c r="B149" s="24" t="s">
        <v>12</v>
      </c>
      <c r="C149" s="24" t="s">
        <v>17</v>
      </c>
      <c r="D149" s="24">
        <v>7</v>
      </c>
      <c r="E149" s="24">
        <v>350</v>
      </c>
      <c r="F149" s="43">
        <f>IF(B149="Egg Shop","",IF(J149="","",IFERROR(LOOKUP(2,1/(Purchases!$H$3:$H$2002=J149),Purchases!$F$3:$F$2002),"")))</f>
        <v>340</v>
      </c>
      <c r="G149" s="43">
        <f t="shared" si="8"/>
        <v>2450</v>
      </c>
      <c r="H149" s="43">
        <f t="shared" si="9"/>
        <v>2380</v>
      </c>
      <c r="I149" s="43">
        <f t="shared" si="10"/>
        <v>70</v>
      </c>
      <c r="J149" s="43" t="str">
        <f t="shared" si="11"/>
        <v>Akatsi Feed|GM</v>
      </c>
      <c r="K149" s="43" t="str">
        <f t="shared" si="12"/>
        <v>Cash</v>
      </c>
    </row>
    <row r="150" spans="1:11">
      <c r="A150" s="42">
        <v>46137</v>
      </c>
      <c r="B150" s="24" t="s">
        <v>16</v>
      </c>
      <c r="C150" s="24" t="s">
        <v>13</v>
      </c>
      <c r="D150" s="24">
        <v>4</v>
      </c>
      <c r="E150" s="24">
        <v>365</v>
      </c>
      <c r="F150" s="43">
        <f>IF(B150="Egg Shop","",IF(J150="","",IFERROR(LOOKUP(2,1/(Purchases!$H$3:$H$2002=J150),Purchases!$F$3:$F$2002),"")))</f>
        <v>352</v>
      </c>
      <c r="G150" s="43">
        <f t="shared" si="8"/>
        <v>1460</v>
      </c>
      <c r="H150" s="43">
        <f t="shared" si="9"/>
        <v>1408</v>
      </c>
      <c r="I150" s="43">
        <f t="shared" si="10"/>
        <v>52</v>
      </c>
      <c r="J150" s="43" t="str">
        <f t="shared" si="11"/>
        <v>Abor Feed|LM</v>
      </c>
      <c r="K150" s="43" t="str">
        <f t="shared" si="12"/>
        <v>Cash</v>
      </c>
    </row>
    <row r="151" spans="1:11">
      <c r="A151" s="42">
        <v>46139</v>
      </c>
      <c r="B151" s="24" t="s">
        <v>12</v>
      </c>
      <c r="C151" s="24" t="s">
        <v>13</v>
      </c>
      <c r="D151" s="24">
        <v>25</v>
      </c>
      <c r="E151" s="24">
        <v>365</v>
      </c>
      <c r="F151" s="43">
        <f>IF(B151="Egg Shop","",IF(J151="","",IFERROR(LOOKUP(2,1/(Purchases!$H$3:$H$2002=J151),Purchases!$F$3:$F$2002),"")))</f>
        <v>352</v>
      </c>
      <c r="G151" s="43">
        <f t="shared" si="8"/>
        <v>9125</v>
      </c>
      <c r="H151" s="43">
        <f t="shared" si="9"/>
        <v>8800</v>
      </c>
      <c r="I151" s="43">
        <f t="shared" si="10"/>
        <v>325</v>
      </c>
      <c r="J151" s="43" t="str">
        <f t="shared" si="11"/>
        <v>Akatsi Feed|LM</v>
      </c>
      <c r="K151" s="43" t="str">
        <f t="shared" si="12"/>
        <v>Cash</v>
      </c>
    </row>
    <row r="152" spans="1:11">
      <c r="A152" s="42">
        <v>46139</v>
      </c>
      <c r="B152" s="24" t="s">
        <v>12</v>
      </c>
      <c r="C152" s="24" t="s">
        <v>17</v>
      </c>
      <c r="D152" s="24">
        <v>5</v>
      </c>
      <c r="E152" s="24">
        <v>350</v>
      </c>
      <c r="F152" s="43">
        <f>IF(B152="Egg Shop","",IF(J152="","",IFERROR(LOOKUP(2,1/(Purchases!$H$3:$H$2002=J152),Purchases!$F$3:$F$2002),"")))</f>
        <v>340</v>
      </c>
      <c r="G152" s="43">
        <f t="shared" si="8"/>
        <v>1750</v>
      </c>
      <c r="H152" s="43">
        <f t="shared" si="9"/>
        <v>1700</v>
      </c>
      <c r="I152" s="43">
        <f t="shared" si="10"/>
        <v>50</v>
      </c>
      <c r="J152" s="43" t="str">
        <f t="shared" si="11"/>
        <v>Akatsi Feed|GM</v>
      </c>
      <c r="K152" s="43" t="str">
        <f t="shared" si="12"/>
        <v>Cash</v>
      </c>
    </row>
    <row r="153" spans="1:11">
      <c r="A153" s="42">
        <v>46139</v>
      </c>
      <c r="B153" s="43" t="s">
        <v>12</v>
      </c>
      <c r="C153" s="43" t="s">
        <v>33</v>
      </c>
      <c r="D153" s="43">
        <v>3</v>
      </c>
      <c r="E153" s="43">
        <v>90</v>
      </c>
      <c r="F153" s="43">
        <f>IF(B153="Egg Shop","",IF(J153="","",IFERROR(LOOKUP(2,1/(Purchases!$H$3:$H$2002=J153),Purchases!$F$3:$F$2002),"")))</f>
        <v>80</v>
      </c>
      <c r="G153" s="43">
        <f t="shared" si="8"/>
        <v>270</v>
      </c>
      <c r="H153" s="43">
        <f t="shared" si="9"/>
        <v>240</v>
      </c>
      <c r="I153" s="43">
        <f t="shared" si="10"/>
        <v>30</v>
      </c>
      <c r="J153" s="43" t="str">
        <f t="shared" si="11"/>
        <v>Akatsi Feed|Crates</v>
      </c>
      <c r="K153" s="43" t="str">
        <f t="shared" si="12"/>
        <v>Cash</v>
      </c>
    </row>
    <row r="154" spans="1:11">
      <c r="A154" s="42">
        <v>46139</v>
      </c>
      <c r="B154" s="24" t="s">
        <v>16</v>
      </c>
      <c r="C154" s="24" t="s">
        <v>13</v>
      </c>
      <c r="D154" s="24">
        <v>4</v>
      </c>
      <c r="E154" s="24">
        <v>365</v>
      </c>
      <c r="F154" s="43">
        <f>IF(B154="Egg Shop","",IF(J154="","",IFERROR(LOOKUP(2,1/(Purchases!$H$3:$H$2002=J154),Purchases!$F$3:$F$2002),"")))</f>
        <v>352</v>
      </c>
      <c r="G154" s="43">
        <f t="shared" si="8"/>
        <v>1460</v>
      </c>
      <c r="H154" s="43">
        <f t="shared" si="9"/>
        <v>1408</v>
      </c>
      <c r="I154" s="43">
        <f t="shared" si="10"/>
        <v>52</v>
      </c>
      <c r="J154" s="43" t="str">
        <f t="shared" si="11"/>
        <v>Abor Feed|LM</v>
      </c>
      <c r="K154" s="43" t="str">
        <f t="shared" si="12"/>
        <v>Cash</v>
      </c>
    </row>
    <row r="155" spans="1:11">
      <c r="A155" s="42">
        <v>46140</v>
      </c>
      <c r="B155" s="24" t="s">
        <v>12</v>
      </c>
      <c r="C155" s="24" t="s">
        <v>13</v>
      </c>
      <c r="D155" s="24">
        <v>4</v>
      </c>
      <c r="E155" s="24">
        <v>365</v>
      </c>
      <c r="F155" s="43">
        <f>IF(B155="Egg Shop","",IF(J155="","",IFERROR(LOOKUP(2,1/(Purchases!$H$3:$H$2002=J155),Purchases!$F$3:$F$2002),"")))</f>
        <v>352</v>
      </c>
      <c r="G155" s="43">
        <f t="shared" si="8"/>
        <v>1460</v>
      </c>
      <c r="H155" s="43">
        <f t="shared" si="9"/>
        <v>1408</v>
      </c>
      <c r="I155" s="43">
        <f t="shared" si="10"/>
        <v>52</v>
      </c>
      <c r="J155" s="43" t="str">
        <f t="shared" si="11"/>
        <v>Akatsi Feed|LM</v>
      </c>
      <c r="K155" s="43" t="str">
        <f t="shared" si="12"/>
        <v>Cash</v>
      </c>
    </row>
    <row r="156" spans="1:11">
      <c r="A156" s="42">
        <v>46140</v>
      </c>
      <c r="B156" s="24" t="s">
        <v>12</v>
      </c>
      <c r="C156" s="24" t="s">
        <v>17</v>
      </c>
      <c r="D156" s="24">
        <v>2</v>
      </c>
      <c r="E156" s="24">
        <v>350</v>
      </c>
      <c r="F156" s="43">
        <f>IF(B156="Egg Shop","",IF(J156="","",IFERROR(LOOKUP(2,1/(Purchases!$H$3:$H$2002=J156),Purchases!$F$3:$F$2002),"")))</f>
        <v>340</v>
      </c>
      <c r="G156" s="43">
        <f t="shared" si="8"/>
        <v>700</v>
      </c>
      <c r="H156" s="43">
        <f t="shared" si="9"/>
        <v>680</v>
      </c>
      <c r="I156" s="43">
        <f t="shared" si="10"/>
        <v>20</v>
      </c>
      <c r="J156" s="43" t="str">
        <f t="shared" si="11"/>
        <v>Akatsi Feed|GM</v>
      </c>
      <c r="K156" s="43" t="str">
        <f t="shared" si="12"/>
        <v>Cash</v>
      </c>
    </row>
    <row r="157" spans="1:11">
      <c r="A157" s="42">
        <v>46140</v>
      </c>
      <c r="B157" s="43" t="s">
        <v>12</v>
      </c>
      <c r="C157" s="43" t="s">
        <v>21</v>
      </c>
      <c r="D157" s="43">
        <v>1</v>
      </c>
      <c r="E157" s="43">
        <v>370</v>
      </c>
      <c r="F157" s="43">
        <f>IF(B157="Egg Shop","",IF(J157="","",IFERROR(LOOKUP(2,1/(Purchases!$H$3:$H$2002=J157),Purchases!$F$3:$F$2002),"")))</f>
        <v>357</v>
      </c>
      <c r="G157" s="43">
        <f t="shared" si="8"/>
        <v>370</v>
      </c>
      <c r="H157" s="43">
        <f t="shared" si="9"/>
        <v>357</v>
      </c>
      <c r="I157" s="43">
        <f t="shared" si="10"/>
        <v>13</v>
      </c>
      <c r="J157" s="43" t="str">
        <f t="shared" si="11"/>
        <v>Akatsi Feed|CM</v>
      </c>
      <c r="K157" s="43" t="str">
        <f t="shared" si="12"/>
        <v>Cash</v>
      </c>
    </row>
    <row r="158" spans="1:11">
      <c r="A158" s="42">
        <v>46140</v>
      </c>
      <c r="B158" s="43" t="s">
        <v>16</v>
      </c>
      <c r="C158" s="43" t="s">
        <v>13</v>
      </c>
      <c r="D158" s="43">
        <v>4</v>
      </c>
      <c r="E158" s="43">
        <v>365</v>
      </c>
      <c r="F158" s="43">
        <f>IF(B158="Egg Shop","",IF(J158="","",IFERROR(LOOKUP(2,1/(Purchases!$H$3:$H$2002=J158),Purchases!$F$3:$F$2002),"")))</f>
        <v>352</v>
      </c>
      <c r="G158" s="43">
        <f t="shared" si="8"/>
        <v>1460</v>
      </c>
      <c r="H158" s="43">
        <f t="shared" si="9"/>
        <v>1408</v>
      </c>
      <c r="I158" s="43">
        <f t="shared" si="10"/>
        <v>52</v>
      </c>
      <c r="J158" s="43" t="str">
        <f t="shared" si="11"/>
        <v>Abor Feed|LM</v>
      </c>
      <c r="K158" s="43" t="str">
        <f t="shared" si="12"/>
        <v>Cash</v>
      </c>
    </row>
    <row r="159" spans="1:11">
      <c r="A159" s="42">
        <v>46140</v>
      </c>
      <c r="B159" s="43" t="s">
        <v>16</v>
      </c>
      <c r="C159" s="43" t="s">
        <v>17</v>
      </c>
      <c r="D159" s="43">
        <v>1</v>
      </c>
      <c r="E159" s="43">
        <v>355</v>
      </c>
      <c r="F159" s="43">
        <f>IF(B159="Egg Shop","",IF(J159="","",IFERROR(LOOKUP(2,1/(Purchases!$H$3:$H$2002=J159),Purchases!$F$3:$F$2002),"")))</f>
        <v>340</v>
      </c>
      <c r="G159" s="43">
        <f t="shared" si="8"/>
        <v>355</v>
      </c>
      <c r="H159" s="43">
        <f t="shared" si="9"/>
        <v>340</v>
      </c>
      <c r="I159" s="43">
        <f t="shared" si="10"/>
        <v>15</v>
      </c>
      <c r="J159" s="43" t="str">
        <f t="shared" si="11"/>
        <v>Abor Feed|GM</v>
      </c>
      <c r="K159" s="43" t="str">
        <f t="shared" si="12"/>
        <v>Cash</v>
      </c>
    </row>
    <row r="160" spans="1:11">
      <c r="A160" s="42">
        <v>46141</v>
      </c>
      <c r="B160" s="24" t="s">
        <v>12</v>
      </c>
      <c r="C160" s="24" t="s">
        <v>13</v>
      </c>
      <c r="D160" s="24">
        <v>12</v>
      </c>
      <c r="E160" s="24">
        <v>365</v>
      </c>
      <c r="F160" s="43">
        <f>IF(B160="Egg Shop","",IF(J160="","",IFERROR(LOOKUP(2,1/(Purchases!$H$3:$H$2002=J160),Purchases!$F$3:$F$2002),"")))</f>
        <v>352</v>
      </c>
      <c r="G160" s="43">
        <f t="shared" si="8"/>
        <v>4380</v>
      </c>
      <c r="H160" s="43">
        <f t="shared" si="9"/>
        <v>4224</v>
      </c>
      <c r="I160" s="43">
        <f>IF(OR(G160="",H160=""),"",G160-H160)</f>
        <v>156</v>
      </c>
      <c r="J160" s="43" t="str">
        <f t="shared" si="11"/>
        <v>Akatsi Feed|LM</v>
      </c>
      <c r="K160" s="43" t="str">
        <f t="shared" si="12"/>
        <v>Cash</v>
      </c>
    </row>
    <row r="161" spans="1:11">
      <c r="A161" s="42">
        <v>46141</v>
      </c>
      <c r="B161" s="24" t="s">
        <v>12</v>
      </c>
      <c r="C161" s="24" t="s">
        <v>17</v>
      </c>
      <c r="D161" s="24">
        <v>3</v>
      </c>
      <c r="E161" s="24">
        <v>350</v>
      </c>
      <c r="F161" s="43">
        <f>IF(B161="Egg Shop","",IF(J161="","",IFERROR(LOOKUP(2,1/(Purchases!$H$3:$H$2002=J161),Purchases!$F$3:$F$2002),"")))</f>
        <v>340</v>
      </c>
      <c r="G161" s="43">
        <f t="shared" si="8"/>
        <v>1050</v>
      </c>
      <c r="H161" s="43">
        <f t="shared" si="9"/>
        <v>1020</v>
      </c>
      <c r="I161" s="43">
        <f t="shared" si="10"/>
        <v>30</v>
      </c>
      <c r="J161" s="43" t="str">
        <f t="shared" si="11"/>
        <v>Akatsi Feed|GM</v>
      </c>
      <c r="K161" s="43" t="str">
        <f t="shared" si="12"/>
        <v>Cash</v>
      </c>
    </row>
    <row r="162" spans="1:11">
      <c r="A162" s="42">
        <v>46141</v>
      </c>
      <c r="B162" s="43" t="s">
        <v>12</v>
      </c>
      <c r="C162" s="43" t="s">
        <v>33</v>
      </c>
      <c r="D162" s="43">
        <v>2</v>
      </c>
      <c r="E162" s="43">
        <v>90</v>
      </c>
      <c r="F162" s="43">
        <f>IF(B162="Egg Shop","",IF(J162="","",IFERROR(LOOKUP(2,1/(Purchases!$H$3:$H$2002=J162),Purchases!$F$3:$F$2002),"")))</f>
        <v>80</v>
      </c>
      <c r="G162" s="43">
        <f t="shared" si="8"/>
        <v>180</v>
      </c>
      <c r="H162" s="43">
        <f t="shared" si="9"/>
        <v>160</v>
      </c>
      <c r="I162" s="43">
        <f t="shared" si="10"/>
        <v>20</v>
      </c>
      <c r="J162" s="43" t="str">
        <f t="shared" si="11"/>
        <v>Akatsi Feed|Crates</v>
      </c>
      <c r="K162" s="43" t="str">
        <f t="shared" si="12"/>
        <v>Cash</v>
      </c>
    </row>
    <row r="163" spans="1:11">
      <c r="A163" s="42">
        <v>46141</v>
      </c>
      <c r="B163" s="43" t="s">
        <v>16</v>
      </c>
      <c r="C163" s="43" t="s">
        <v>13</v>
      </c>
      <c r="D163" s="43">
        <v>10</v>
      </c>
      <c r="E163" s="43">
        <v>365</v>
      </c>
      <c r="F163" s="43">
        <f>IF(B163="Egg Shop","",IF(J163="","",IFERROR(LOOKUP(2,1/(Purchases!$H$3:$H$2002=J163),Purchases!$F$3:$F$2002),"")))</f>
        <v>352</v>
      </c>
      <c r="G163" s="43">
        <f t="shared" si="8"/>
        <v>3650</v>
      </c>
      <c r="H163" s="43">
        <f t="shared" si="9"/>
        <v>3520</v>
      </c>
      <c r="I163" s="43">
        <f t="shared" si="10"/>
        <v>130</v>
      </c>
      <c r="J163" s="43" t="str">
        <f t="shared" si="11"/>
        <v>Abor Feed|LM</v>
      </c>
      <c r="K163" s="43" t="str">
        <f t="shared" si="12"/>
        <v>Cash</v>
      </c>
    </row>
    <row r="164" spans="1:11">
      <c r="A164" s="42">
        <v>46142</v>
      </c>
      <c r="B164" s="24" t="s">
        <v>12</v>
      </c>
      <c r="C164" s="24" t="s">
        <v>13</v>
      </c>
      <c r="D164" s="24">
        <v>7</v>
      </c>
      <c r="E164" s="24">
        <v>365</v>
      </c>
      <c r="F164" s="43">
        <f>IF(B164="Egg Shop","",IF(J164="","",IFERROR(LOOKUP(2,1/(Purchases!$H$3:$H$2002=J164),Purchases!$F$3:$F$2002),"")))</f>
        <v>352</v>
      </c>
      <c r="G164" s="43">
        <f t="shared" si="8"/>
        <v>2555</v>
      </c>
      <c r="H164" s="43">
        <f t="shared" si="9"/>
        <v>2464</v>
      </c>
      <c r="I164" s="43">
        <f t="shared" si="10"/>
        <v>91</v>
      </c>
      <c r="J164" s="43" t="str">
        <f t="shared" si="11"/>
        <v>Akatsi Feed|LM</v>
      </c>
      <c r="K164" s="43" t="str">
        <f t="shared" si="12"/>
        <v>Cash</v>
      </c>
    </row>
    <row r="165" spans="1:11">
      <c r="A165" s="42">
        <v>46142</v>
      </c>
      <c r="B165" s="24" t="s">
        <v>12</v>
      </c>
      <c r="C165" s="24" t="s">
        <v>17</v>
      </c>
      <c r="D165" s="24">
        <v>1</v>
      </c>
      <c r="E165" s="24">
        <v>350</v>
      </c>
      <c r="F165" s="43">
        <f>IF(B165="Egg Shop","",IF(J165="","",IFERROR(LOOKUP(2,1/(Purchases!$H$3:$H$2002=J165),Purchases!$F$3:$F$2002),"")))</f>
        <v>340</v>
      </c>
      <c r="G165" s="43">
        <f t="shared" si="8"/>
        <v>350</v>
      </c>
      <c r="H165" s="43">
        <f t="shared" si="9"/>
        <v>340</v>
      </c>
      <c r="I165" s="43">
        <f t="shared" si="10"/>
        <v>10</v>
      </c>
      <c r="J165" s="43" t="str">
        <f t="shared" si="11"/>
        <v>Akatsi Feed|GM</v>
      </c>
      <c r="K165" s="43" t="str">
        <f t="shared" si="12"/>
        <v>Cash</v>
      </c>
    </row>
    <row r="166" spans="1:11">
      <c r="A166" s="42">
        <v>46142</v>
      </c>
      <c r="B166" s="43" t="s">
        <v>12</v>
      </c>
      <c r="C166" s="43" t="s">
        <v>33</v>
      </c>
      <c r="D166" s="43">
        <v>2</v>
      </c>
      <c r="E166" s="43">
        <v>90</v>
      </c>
      <c r="F166" s="43">
        <f>IF(B166="Egg Shop","",IF(J166="","",IFERROR(LOOKUP(2,1/(Purchases!$H$3:$H$2002=J166),Purchases!$F$3:$F$2002),"")))</f>
        <v>80</v>
      </c>
      <c r="G166" s="43">
        <f t="shared" si="8"/>
        <v>180</v>
      </c>
      <c r="H166" s="43">
        <f t="shared" si="9"/>
        <v>160</v>
      </c>
      <c r="I166" s="43">
        <f t="shared" si="10"/>
        <v>20</v>
      </c>
      <c r="J166" s="43" t="str">
        <f t="shared" si="11"/>
        <v>Akatsi Feed|Crates</v>
      </c>
      <c r="K166" s="43" t="str">
        <f t="shared" si="12"/>
        <v>Cash</v>
      </c>
    </row>
    <row r="167" spans="1:11">
      <c r="A167" s="42">
        <v>46142</v>
      </c>
      <c r="B167" s="43" t="s">
        <v>16</v>
      </c>
      <c r="C167" s="43" t="s">
        <v>13</v>
      </c>
      <c r="D167" s="43">
        <v>3</v>
      </c>
      <c r="E167" s="43">
        <v>365</v>
      </c>
      <c r="F167" s="43">
        <f>IF(B167="Egg Shop","",IF(J167="","",IFERROR(LOOKUP(2,1/(Purchases!$H$3:$H$2002=J167),Purchases!$F$3:$F$2002),"")))</f>
        <v>352</v>
      </c>
      <c r="G167" s="43">
        <f t="shared" si="8"/>
        <v>1095</v>
      </c>
      <c r="H167" s="43">
        <f t="shared" si="9"/>
        <v>1056</v>
      </c>
      <c r="I167" s="43">
        <f t="shared" si="10"/>
        <v>39</v>
      </c>
      <c r="J167" s="43" t="str">
        <f t="shared" si="11"/>
        <v>Abor Feed|LM</v>
      </c>
      <c r="K167" s="43" t="str">
        <f t="shared" si="12"/>
        <v>Cash</v>
      </c>
    </row>
    <row r="168" spans="1:11">
      <c r="A168" s="42">
        <v>46142</v>
      </c>
      <c r="B168" s="43" t="s">
        <v>16</v>
      </c>
      <c r="C168" s="43" t="s">
        <v>17</v>
      </c>
      <c r="D168" s="43">
        <v>1</v>
      </c>
      <c r="E168" s="43">
        <v>355</v>
      </c>
      <c r="F168" s="43">
        <f>IF(B168="Egg Shop","",IF(J168="","",IFERROR(LOOKUP(2,1/(Purchases!$H$3:$H$2002=J168),Purchases!$F$3:$F$2002),"")))</f>
        <v>340</v>
      </c>
      <c r="G168" s="43">
        <f t="shared" si="8"/>
        <v>355</v>
      </c>
      <c r="H168" s="43">
        <f t="shared" si="9"/>
        <v>340</v>
      </c>
      <c r="I168" s="43">
        <f t="shared" si="10"/>
        <v>15</v>
      </c>
      <c r="J168" s="43" t="str">
        <f t="shared" si="11"/>
        <v>Abor Feed|GM</v>
      </c>
      <c r="K168" s="43" t="str">
        <f t="shared" si="12"/>
        <v>Cash</v>
      </c>
    </row>
    <row r="169" spans="1:11">
      <c r="A169" s="42">
        <v>46143</v>
      </c>
      <c r="B169" s="24" t="s">
        <v>12</v>
      </c>
      <c r="C169" s="24" t="s">
        <v>13</v>
      </c>
      <c r="D169" s="24">
        <v>3</v>
      </c>
      <c r="E169" s="24">
        <v>365</v>
      </c>
      <c r="F169" s="43">
        <f>IF(B169="Egg Shop","",IF(J169="","",IFERROR(LOOKUP(2,1/(Purchases!$H$3:$H$2002=J169),Purchases!$F$3:$F$2002),"")))</f>
        <v>352</v>
      </c>
      <c r="G169" s="43">
        <f t="shared" si="8"/>
        <v>1095</v>
      </c>
      <c r="H169" s="43">
        <f t="shared" si="9"/>
        <v>1056</v>
      </c>
      <c r="I169" s="43">
        <f t="shared" si="10"/>
        <v>39</v>
      </c>
      <c r="J169" s="43" t="str">
        <f t="shared" si="11"/>
        <v>Akatsi Feed|LM</v>
      </c>
      <c r="K169" s="43" t="str">
        <f t="shared" si="12"/>
        <v>Cash</v>
      </c>
    </row>
    <row r="170" spans="1:11">
      <c r="A170" s="42">
        <v>46143</v>
      </c>
      <c r="B170" s="24" t="s">
        <v>12</v>
      </c>
      <c r="C170" s="24" t="s">
        <v>17</v>
      </c>
      <c r="D170" s="24">
        <v>1</v>
      </c>
      <c r="E170" s="24">
        <v>350</v>
      </c>
      <c r="F170" s="43">
        <f>IF(B170="Egg Shop","",IF(J170="","",IFERROR(LOOKUP(2,1/(Purchases!$H$3:$H$2002=J170),Purchases!$F$3:$F$2002),"")))</f>
        <v>340</v>
      </c>
      <c r="G170" s="43">
        <f t="shared" si="8"/>
        <v>350</v>
      </c>
      <c r="H170" s="43">
        <f t="shared" si="9"/>
        <v>340</v>
      </c>
      <c r="I170" s="43">
        <f t="shared" si="10"/>
        <v>10</v>
      </c>
      <c r="J170" s="43" t="str">
        <f t="shared" si="11"/>
        <v>Akatsi Feed|GM</v>
      </c>
      <c r="K170" s="43" t="str">
        <f t="shared" si="12"/>
        <v>Cash</v>
      </c>
    </row>
    <row r="171" spans="1:11">
      <c r="A171" s="42">
        <v>46143</v>
      </c>
      <c r="B171" s="43" t="s">
        <v>16</v>
      </c>
      <c r="C171" s="43" t="s">
        <v>13</v>
      </c>
      <c r="D171" s="43">
        <v>1</v>
      </c>
      <c r="E171" s="43">
        <v>365</v>
      </c>
      <c r="F171" s="43">
        <f>IF(B171="Egg Shop","",IF(J171="","",IFERROR(LOOKUP(2,1/(Purchases!$H$3:$H$2002=J171),Purchases!$F$3:$F$2002),"")))</f>
        <v>352</v>
      </c>
      <c r="G171" s="43">
        <f t="shared" si="8"/>
        <v>365</v>
      </c>
      <c r="H171" s="43">
        <f t="shared" si="9"/>
        <v>352</v>
      </c>
      <c r="I171" s="43">
        <f t="shared" si="10"/>
        <v>13</v>
      </c>
      <c r="J171" s="43" t="str">
        <f t="shared" si="11"/>
        <v>Abor Feed|LM</v>
      </c>
      <c r="K171" s="43" t="str">
        <f t="shared" si="12"/>
        <v>Cash</v>
      </c>
    </row>
    <row r="172" spans="1:11">
      <c r="A172" s="42">
        <v>46143</v>
      </c>
      <c r="B172" s="43" t="s">
        <v>16</v>
      </c>
      <c r="C172" s="43" t="s">
        <v>17</v>
      </c>
      <c r="D172" s="43">
        <v>2</v>
      </c>
      <c r="E172" s="43">
        <v>355</v>
      </c>
      <c r="F172" s="43">
        <f>IF(B172="Egg Shop","",IF(J172="","",IFERROR(LOOKUP(2,1/(Purchases!$H$3:$H$2002=J172),Purchases!$F$3:$F$2002),"")))</f>
        <v>340</v>
      </c>
      <c r="G172" s="43">
        <f t="shared" si="8"/>
        <v>710</v>
      </c>
      <c r="H172" s="43">
        <f t="shared" si="9"/>
        <v>680</v>
      </c>
      <c r="I172" s="43">
        <f t="shared" si="10"/>
        <v>30</v>
      </c>
      <c r="J172" s="43" t="str">
        <f t="shared" si="11"/>
        <v>Abor Feed|GM</v>
      </c>
      <c r="K172" s="43" t="str">
        <f t="shared" si="12"/>
        <v>Cash</v>
      </c>
    </row>
    <row r="173" spans="1:11">
      <c r="A173" s="42">
        <v>46144</v>
      </c>
      <c r="B173" s="24" t="s">
        <v>12</v>
      </c>
      <c r="C173" s="24" t="s">
        <v>13</v>
      </c>
      <c r="D173" s="24">
        <v>8</v>
      </c>
      <c r="E173" s="24">
        <v>365</v>
      </c>
      <c r="F173" s="43">
        <f>IF(B173="Egg Shop","",IF(J173="","",IFERROR(LOOKUP(2,1/(Purchases!$H$3:$H$2002=J173),Purchases!$F$3:$F$2002),"")))</f>
        <v>352</v>
      </c>
      <c r="G173" s="43">
        <f t="shared" si="8"/>
        <v>2920</v>
      </c>
      <c r="H173" s="43">
        <f t="shared" si="9"/>
        <v>2816</v>
      </c>
      <c r="I173" s="43">
        <f t="shared" si="10"/>
        <v>104</v>
      </c>
      <c r="J173" s="43" t="str">
        <f t="shared" si="11"/>
        <v>Akatsi Feed|LM</v>
      </c>
      <c r="K173" s="43" t="str">
        <f t="shared" si="12"/>
        <v>Cash</v>
      </c>
    </row>
    <row r="174" spans="1:11">
      <c r="A174" s="42">
        <v>46144</v>
      </c>
      <c r="B174" s="24" t="s">
        <v>12</v>
      </c>
      <c r="C174" s="24" t="s">
        <v>17</v>
      </c>
      <c r="D174" s="24">
        <v>4</v>
      </c>
      <c r="E174" s="24">
        <v>350</v>
      </c>
      <c r="F174" s="43">
        <f>IF(B174="Egg Shop","",IF(J174="","",IFERROR(LOOKUP(2,1/(Purchases!$H$3:$H$2002=J174),Purchases!$F$3:$F$2002),"")))</f>
        <v>340</v>
      </c>
      <c r="G174" s="43">
        <f t="shared" si="8"/>
        <v>1400</v>
      </c>
      <c r="H174" s="43">
        <f t="shared" si="9"/>
        <v>1360</v>
      </c>
      <c r="I174" s="43">
        <f t="shared" si="10"/>
        <v>40</v>
      </c>
      <c r="J174" s="43" t="str">
        <f t="shared" si="11"/>
        <v>Akatsi Feed|GM</v>
      </c>
      <c r="K174" s="43" t="str">
        <f t="shared" si="12"/>
        <v>Cash</v>
      </c>
    </row>
    <row r="175" spans="1:11">
      <c r="A175" s="42">
        <v>46144</v>
      </c>
      <c r="B175" s="43" t="s">
        <v>12</v>
      </c>
      <c r="C175" s="43" t="s">
        <v>33</v>
      </c>
      <c r="D175" s="43">
        <v>2</v>
      </c>
      <c r="E175" s="43">
        <v>90</v>
      </c>
      <c r="F175" s="43">
        <f>IF(B175="Egg Shop","",IF(J175="","",IFERROR(LOOKUP(2,1/(Purchases!$H$3:$H$2002=J175),Purchases!$F$3:$F$2002),"")))</f>
        <v>80</v>
      </c>
      <c r="G175" s="43">
        <f t="shared" si="8"/>
        <v>180</v>
      </c>
      <c r="H175" s="43">
        <f t="shared" si="9"/>
        <v>160</v>
      </c>
      <c r="I175" s="43">
        <f t="shared" si="10"/>
        <v>20</v>
      </c>
      <c r="J175" s="43" t="str">
        <f t="shared" si="11"/>
        <v>Akatsi Feed|Crates</v>
      </c>
      <c r="K175" s="43" t="str">
        <f t="shared" si="12"/>
        <v>Cash</v>
      </c>
    </row>
    <row r="176" spans="1:11">
      <c r="A176" s="42">
        <v>46144</v>
      </c>
      <c r="B176" s="43" t="s">
        <v>16</v>
      </c>
      <c r="C176" s="43" t="s">
        <v>13</v>
      </c>
      <c r="D176" s="43">
        <v>5</v>
      </c>
      <c r="E176" s="43">
        <v>365</v>
      </c>
      <c r="F176" s="43">
        <f>IF(B176="Egg Shop","",IF(J176="","",IFERROR(LOOKUP(2,1/(Purchases!$H$3:$H$2002=J176),Purchases!$F$3:$F$2002),"")))</f>
        <v>352</v>
      </c>
      <c r="G176" s="43">
        <f t="shared" si="8"/>
        <v>1825</v>
      </c>
      <c r="H176" s="43">
        <f t="shared" si="9"/>
        <v>1760</v>
      </c>
      <c r="I176" s="43">
        <f t="shared" si="10"/>
        <v>65</v>
      </c>
      <c r="J176" s="43" t="str">
        <f t="shared" si="11"/>
        <v>Abor Feed|LM</v>
      </c>
      <c r="K176" s="43" t="str">
        <f t="shared" si="12"/>
        <v>Cash</v>
      </c>
    </row>
    <row r="177" spans="1:11">
      <c r="A177" s="42">
        <v>46144</v>
      </c>
      <c r="B177" s="43" t="s">
        <v>16</v>
      </c>
      <c r="C177" s="43" t="s">
        <v>17</v>
      </c>
      <c r="D177" s="43">
        <v>1</v>
      </c>
      <c r="E177" s="43">
        <v>355</v>
      </c>
      <c r="F177" s="43">
        <f>IF(B177="Egg Shop","",IF(J177="","",IFERROR(LOOKUP(2,1/(Purchases!$H$3:$H$2002=J177),Purchases!$F$3:$F$2002),"")))</f>
        <v>340</v>
      </c>
      <c r="G177" s="43">
        <f t="shared" si="8"/>
        <v>355</v>
      </c>
      <c r="H177" s="43">
        <f t="shared" si="9"/>
        <v>340</v>
      </c>
      <c r="I177" s="43">
        <f t="shared" si="10"/>
        <v>15</v>
      </c>
      <c r="J177" s="43" t="str">
        <f t="shared" si="11"/>
        <v>Abor Feed|GM</v>
      </c>
      <c r="K177" s="43" t="str">
        <f t="shared" si="12"/>
        <v>Cash</v>
      </c>
    </row>
    <row r="178" spans="1:11">
      <c r="A178" s="42">
        <v>46142</v>
      </c>
      <c r="B178" s="24" t="s">
        <v>20</v>
      </c>
      <c r="C178" s="24" t="s">
        <v>28</v>
      </c>
      <c r="D178" s="24">
        <v>10</v>
      </c>
      <c r="E178" s="24">
        <v>750</v>
      </c>
      <c r="F178" s="43">
        <f>IF(B178="Egg Shop","",IF(J178="","",IFERROR(LOOKUP(2,1/(Purchases!$H$3:$H$2002=J178),Purchases!$F$3:$F$2002),"")))</f>
        <v>730</v>
      </c>
      <c r="G178" s="43">
        <f t="shared" si="8"/>
        <v>7500</v>
      </c>
      <c r="H178" s="43">
        <f t="shared" si="9"/>
        <v>7300</v>
      </c>
      <c r="I178" s="43">
        <f t="shared" si="10"/>
        <v>200</v>
      </c>
      <c r="J178" s="43" t="str">
        <f t="shared" si="11"/>
        <v>Mobile Shop|Hend 5%</v>
      </c>
      <c r="K178" s="43" t="str">
        <f t="shared" si="12"/>
        <v>Cash</v>
      </c>
    </row>
    <row r="179" spans="1:11">
      <c r="A179" s="42">
        <v>46142</v>
      </c>
      <c r="B179" s="43" t="s">
        <v>20</v>
      </c>
      <c r="C179" s="43" t="s">
        <v>13</v>
      </c>
      <c r="D179" s="43">
        <v>8</v>
      </c>
      <c r="E179" s="43">
        <v>357</v>
      </c>
      <c r="F179" s="43">
        <f>IF(B179="Egg Shop","",IF(J179="","",IFERROR(LOOKUP(2,1/(Purchases!$H$3:$H$2002=J179),Purchases!$F$3:$F$2002),"")))</f>
        <v>352</v>
      </c>
      <c r="G179" s="43">
        <f t="shared" si="8"/>
        <v>2856</v>
      </c>
      <c r="H179" s="43">
        <f t="shared" si="9"/>
        <v>2816</v>
      </c>
      <c r="I179" s="43">
        <f t="shared" si="10"/>
        <v>40</v>
      </c>
      <c r="J179" s="43" t="str">
        <f t="shared" si="11"/>
        <v>Mobile Shop|LM</v>
      </c>
      <c r="K179" s="43" t="str">
        <f t="shared" si="12"/>
        <v>Cash</v>
      </c>
    </row>
    <row r="180" spans="1:11">
      <c r="A180" s="42">
        <v>46127</v>
      </c>
      <c r="B180" s="43" t="s">
        <v>24</v>
      </c>
      <c r="C180" s="43" t="s">
        <v>18</v>
      </c>
      <c r="D180" s="43">
        <v>0</v>
      </c>
      <c r="E180" s="43">
        <v>60</v>
      </c>
      <c r="F180" s="43">
        <v>60</v>
      </c>
      <c r="G180" s="43">
        <f t="shared" si="8"/>
        <v>0</v>
      </c>
      <c r="H180" s="43">
        <f t="shared" si="9"/>
        <v>0</v>
      </c>
      <c r="I180" s="43">
        <f t="shared" si="10"/>
        <v>0</v>
      </c>
      <c r="J180" s="43" t="str">
        <f t="shared" si="11"/>
        <v>Egg Shop|Large</v>
      </c>
      <c r="K180" s="43" t="str">
        <f t="shared" si="12"/>
        <v>Cash</v>
      </c>
    </row>
    <row r="181" spans="1:11">
      <c r="A181" s="42">
        <v>46127</v>
      </c>
      <c r="B181" s="43" t="s">
        <v>24</v>
      </c>
      <c r="C181" s="43" t="s">
        <v>22</v>
      </c>
      <c r="D181" s="43">
        <v>29</v>
      </c>
      <c r="E181" s="43">
        <v>58</v>
      </c>
      <c r="F181" s="43">
        <v>58</v>
      </c>
      <c r="G181" s="43">
        <f t="shared" si="8"/>
        <v>1682</v>
      </c>
      <c r="H181" s="43">
        <f t="shared" si="9"/>
        <v>1682</v>
      </c>
      <c r="I181" s="43">
        <f t="shared" si="10"/>
        <v>0</v>
      </c>
      <c r="J181" s="43" t="str">
        <f t="shared" si="11"/>
        <v>Egg Shop|Medium</v>
      </c>
      <c r="K181" s="43" t="str">
        <f t="shared" si="12"/>
        <v>Cash</v>
      </c>
    </row>
    <row r="182" spans="1:11">
      <c r="A182" s="42">
        <v>46127</v>
      </c>
      <c r="B182" s="43" t="s">
        <v>24</v>
      </c>
      <c r="C182" s="43" t="s">
        <v>26</v>
      </c>
      <c r="D182" s="43">
        <v>91</v>
      </c>
      <c r="E182" s="43">
        <v>55</v>
      </c>
      <c r="F182" s="43">
        <v>55</v>
      </c>
      <c r="G182" s="43">
        <f t="shared" si="8"/>
        <v>5005</v>
      </c>
      <c r="H182" s="43">
        <f t="shared" si="9"/>
        <v>5005</v>
      </c>
      <c r="I182" s="43">
        <f t="shared" si="10"/>
        <v>0</v>
      </c>
      <c r="J182" s="43" t="str">
        <f t="shared" si="11"/>
        <v>Egg Shop|Small</v>
      </c>
      <c r="K182" s="43" t="str">
        <f t="shared" si="12"/>
        <v>Cash</v>
      </c>
    </row>
    <row r="183" spans="1:11">
      <c r="A183" s="42">
        <v>46127</v>
      </c>
      <c r="B183" s="43" t="s">
        <v>24</v>
      </c>
      <c r="C183" s="43" t="s">
        <v>29</v>
      </c>
      <c r="D183" s="43">
        <v>1</v>
      </c>
      <c r="E183" s="43">
        <v>40</v>
      </c>
      <c r="F183" s="43">
        <v>40</v>
      </c>
      <c r="G183" s="43">
        <f t="shared" si="8"/>
        <v>40</v>
      </c>
      <c r="H183" s="43">
        <f t="shared" si="9"/>
        <v>40</v>
      </c>
      <c r="I183" s="43">
        <f t="shared" si="10"/>
        <v>0</v>
      </c>
      <c r="J183" s="43" t="str">
        <f t="shared" si="11"/>
        <v>Egg Shop|Pullet 1</v>
      </c>
      <c r="K183" s="43" t="str">
        <f t="shared" si="12"/>
        <v>Cash</v>
      </c>
    </row>
    <row r="184" spans="1:11">
      <c r="A184" s="42">
        <v>46127</v>
      </c>
      <c r="B184" s="43" t="s">
        <v>24</v>
      </c>
      <c r="C184" s="43" t="s">
        <v>31</v>
      </c>
      <c r="D184" s="43">
        <v>0</v>
      </c>
      <c r="E184" s="43">
        <v>35</v>
      </c>
      <c r="F184" s="43">
        <v>35</v>
      </c>
      <c r="G184" s="43">
        <f t="shared" si="8"/>
        <v>0</v>
      </c>
      <c r="H184" s="43">
        <f t="shared" si="9"/>
        <v>0</v>
      </c>
      <c r="I184" s="43">
        <f t="shared" si="10"/>
        <v>0</v>
      </c>
      <c r="J184" s="43" t="str">
        <f t="shared" si="11"/>
        <v>Egg Shop|Pullet 2</v>
      </c>
      <c r="K184" s="43" t="str">
        <f t="shared" si="12"/>
        <v>Cash</v>
      </c>
    </row>
    <row r="185" spans="1:11">
      <c r="A185" s="42">
        <v>46127</v>
      </c>
      <c r="B185" s="43" t="s">
        <v>24</v>
      </c>
      <c r="C185" s="43" t="s">
        <v>34</v>
      </c>
      <c r="D185" s="43">
        <v>-3</v>
      </c>
      <c r="E185" s="43">
        <v>30</v>
      </c>
      <c r="F185" s="43">
        <v>30</v>
      </c>
      <c r="G185" s="43">
        <f t="shared" si="8"/>
        <v>-90</v>
      </c>
      <c r="H185" s="43">
        <f t="shared" si="9"/>
        <v>-90</v>
      </c>
      <c r="I185" s="43">
        <f t="shared" si="10"/>
        <v>0</v>
      </c>
      <c r="J185" s="43" t="str">
        <f t="shared" si="11"/>
        <v>Egg Shop|Broken</v>
      </c>
      <c r="K185" s="43" t="str">
        <f t="shared" si="12"/>
        <v>Cash</v>
      </c>
    </row>
    <row r="186" spans="1:11">
      <c r="A186" s="42">
        <v>46128</v>
      </c>
      <c r="B186" s="43" t="s">
        <v>24</v>
      </c>
      <c r="C186" s="43" t="s">
        <v>18</v>
      </c>
      <c r="D186" s="43">
        <v>4</v>
      </c>
      <c r="E186" s="43">
        <v>60</v>
      </c>
      <c r="F186" s="43">
        <v>60</v>
      </c>
      <c r="G186" s="43">
        <f t="shared" si="8"/>
        <v>240</v>
      </c>
      <c r="H186" s="43">
        <f t="shared" si="9"/>
        <v>240</v>
      </c>
      <c r="I186" s="43">
        <f t="shared" si="10"/>
        <v>0</v>
      </c>
      <c r="J186" s="43" t="str">
        <f t="shared" si="11"/>
        <v>Egg Shop|Large</v>
      </c>
      <c r="K186" s="43" t="str">
        <f t="shared" si="12"/>
        <v>Cash</v>
      </c>
    </row>
    <row r="187" spans="1:11">
      <c r="A187" s="42">
        <v>46128</v>
      </c>
      <c r="B187" s="43" t="s">
        <v>24</v>
      </c>
      <c r="C187" s="43" t="s">
        <v>22</v>
      </c>
      <c r="D187" s="43">
        <v>65</v>
      </c>
      <c r="E187" s="43">
        <v>58</v>
      </c>
      <c r="F187" s="43">
        <v>58</v>
      </c>
      <c r="G187" s="43">
        <f t="shared" si="8"/>
        <v>3770</v>
      </c>
      <c r="H187" s="43">
        <f t="shared" si="9"/>
        <v>3770</v>
      </c>
      <c r="I187" s="43">
        <f t="shared" si="10"/>
        <v>0</v>
      </c>
      <c r="J187" s="43" t="str">
        <f t="shared" si="11"/>
        <v>Egg Shop|Medium</v>
      </c>
      <c r="K187" s="43" t="str">
        <f t="shared" si="12"/>
        <v>Cash</v>
      </c>
    </row>
    <row r="188" spans="1:11">
      <c r="A188" s="42">
        <v>46128</v>
      </c>
      <c r="B188" s="43" t="s">
        <v>24</v>
      </c>
      <c r="C188" s="43" t="s">
        <v>26</v>
      </c>
      <c r="D188" s="43">
        <v>68</v>
      </c>
      <c r="E188" s="43">
        <v>55</v>
      </c>
      <c r="F188" s="43">
        <v>55</v>
      </c>
      <c r="G188" s="43">
        <f t="shared" si="8"/>
        <v>3740</v>
      </c>
      <c r="H188" s="43">
        <f t="shared" si="9"/>
        <v>3740</v>
      </c>
      <c r="I188" s="43">
        <f t="shared" si="10"/>
        <v>0</v>
      </c>
      <c r="J188" s="43" t="str">
        <f t="shared" si="11"/>
        <v>Egg Shop|Small</v>
      </c>
      <c r="K188" s="43" t="str">
        <f t="shared" si="12"/>
        <v>Cash</v>
      </c>
    </row>
    <row r="189" spans="1:11">
      <c r="A189" s="42">
        <v>46128</v>
      </c>
      <c r="B189" s="43" t="s">
        <v>24</v>
      </c>
      <c r="C189" s="43" t="s">
        <v>29</v>
      </c>
      <c r="D189" s="43">
        <v>99</v>
      </c>
      <c r="E189" s="43">
        <v>40</v>
      </c>
      <c r="F189" s="43">
        <v>40</v>
      </c>
      <c r="G189" s="43">
        <f t="shared" si="8"/>
        <v>3960</v>
      </c>
      <c r="H189" s="43">
        <f t="shared" si="9"/>
        <v>3960</v>
      </c>
      <c r="I189" s="43">
        <f t="shared" si="10"/>
        <v>0</v>
      </c>
      <c r="J189" s="43" t="str">
        <f t="shared" si="11"/>
        <v>Egg Shop|Pullet 1</v>
      </c>
      <c r="K189" s="43" t="str">
        <f t="shared" si="12"/>
        <v>Cash</v>
      </c>
    </row>
    <row r="190" spans="1:11">
      <c r="A190" s="42">
        <v>46128</v>
      </c>
      <c r="B190" s="43" t="s">
        <v>24</v>
      </c>
      <c r="C190" s="43" t="s">
        <v>31</v>
      </c>
      <c r="D190" s="43">
        <v>35</v>
      </c>
      <c r="E190" s="43">
        <v>35</v>
      </c>
      <c r="F190" s="43">
        <v>35</v>
      </c>
      <c r="G190" s="43">
        <f t="shared" si="8"/>
        <v>1225</v>
      </c>
      <c r="H190" s="43">
        <f t="shared" si="9"/>
        <v>1225</v>
      </c>
      <c r="I190" s="43">
        <f t="shared" si="10"/>
        <v>0</v>
      </c>
      <c r="J190" s="43" t="str">
        <f t="shared" si="11"/>
        <v>Egg Shop|Pullet 2</v>
      </c>
      <c r="K190" s="43" t="str">
        <f t="shared" si="12"/>
        <v>Cash</v>
      </c>
    </row>
    <row r="191" spans="1:11">
      <c r="A191" s="42">
        <v>46128</v>
      </c>
      <c r="B191" s="43" t="s">
        <v>24</v>
      </c>
      <c r="C191" s="43" t="s">
        <v>34</v>
      </c>
      <c r="D191" s="43">
        <v>0</v>
      </c>
      <c r="E191" s="43">
        <v>30</v>
      </c>
      <c r="F191" s="43">
        <v>30</v>
      </c>
      <c r="G191" s="43">
        <f t="shared" si="8"/>
        <v>0</v>
      </c>
      <c r="H191" s="43">
        <f t="shared" si="9"/>
        <v>0</v>
      </c>
      <c r="I191" s="43">
        <f t="shared" si="10"/>
        <v>0</v>
      </c>
      <c r="J191" s="43" t="str">
        <f t="shared" si="11"/>
        <v>Egg Shop|Broken</v>
      </c>
      <c r="K191" s="43" t="str">
        <f t="shared" si="12"/>
        <v>Cash</v>
      </c>
    </row>
    <row r="192" spans="1:11">
      <c r="A192" s="42">
        <v>46129</v>
      </c>
      <c r="B192" s="43" t="s">
        <v>24</v>
      </c>
      <c r="C192" s="43" t="s">
        <v>26</v>
      </c>
      <c r="D192" s="43">
        <v>6</v>
      </c>
      <c r="E192" s="43">
        <v>50</v>
      </c>
      <c r="F192" s="43">
        <v>50</v>
      </c>
      <c r="G192" s="43">
        <f t="shared" si="8"/>
        <v>300</v>
      </c>
      <c r="H192" s="43">
        <f t="shared" si="9"/>
        <v>300</v>
      </c>
      <c r="I192" s="43">
        <f t="shared" si="10"/>
        <v>0</v>
      </c>
      <c r="J192" s="43" t="str">
        <f t="shared" si="11"/>
        <v>Egg Shop|Small</v>
      </c>
      <c r="K192" s="43" t="str">
        <f t="shared" si="12"/>
        <v>Cash</v>
      </c>
    </row>
    <row r="193" spans="1:11">
      <c r="A193" s="42">
        <v>46129</v>
      </c>
      <c r="B193" s="43" t="s">
        <v>24</v>
      </c>
      <c r="C193" s="43" t="s">
        <v>29</v>
      </c>
      <c r="D193" s="43">
        <v>13</v>
      </c>
      <c r="E193" s="43">
        <v>40</v>
      </c>
      <c r="F193" s="43">
        <v>40</v>
      </c>
      <c r="G193" s="43">
        <f t="shared" si="8"/>
        <v>520</v>
      </c>
      <c r="H193" s="43">
        <f t="shared" si="9"/>
        <v>520</v>
      </c>
      <c r="I193" s="43">
        <f t="shared" si="10"/>
        <v>0</v>
      </c>
      <c r="J193" s="43" t="str">
        <f t="shared" si="11"/>
        <v>Egg Shop|Pullet 1</v>
      </c>
      <c r="K193" s="43" t="str">
        <f t="shared" si="12"/>
        <v>Cash</v>
      </c>
    </row>
    <row r="194" spans="1:11">
      <c r="A194" s="42">
        <v>46130</v>
      </c>
      <c r="B194" s="43" t="s">
        <v>24</v>
      </c>
      <c r="C194" s="43" t="s">
        <v>26</v>
      </c>
      <c r="D194" s="43">
        <v>11.5</v>
      </c>
      <c r="E194" s="43">
        <v>50</v>
      </c>
      <c r="F194" s="43">
        <v>50</v>
      </c>
      <c r="G194" s="43">
        <f t="shared" si="8"/>
        <v>575</v>
      </c>
      <c r="H194" s="43">
        <f t="shared" si="9"/>
        <v>575</v>
      </c>
      <c r="I194" s="43">
        <f t="shared" si="10"/>
        <v>0</v>
      </c>
      <c r="J194" s="43" t="str">
        <f t="shared" si="11"/>
        <v>Egg Shop|Small</v>
      </c>
      <c r="K194" s="43" t="str">
        <f t="shared" si="12"/>
        <v>Cash</v>
      </c>
    </row>
    <row r="195" spans="1:11">
      <c r="A195" s="42">
        <v>46130</v>
      </c>
      <c r="B195" s="43" t="s">
        <v>24</v>
      </c>
      <c r="C195" s="43" t="s">
        <v>29</v>
      </c>
      <c r="D195" s="43">
        <v>37</v>
      </c>
      <c r="E195" s="43">
        <v>40</v>
      </c>
      <c r="F195" s="43">
        <v>40</v>
      </c>
      <c r="G195" s="43">
        <f t="shared" ref="G195:G258" si="13">IF(OR(D195="",E195=""),"",D195*E195)</f>
        <v>1480</v>
      </c>
      <c r="H195" s="43">
        <f t="shared" ref="H195:H258" si="14">IF(OR(D195="",F195=""),"",D195*F195)</f>
        <v>1480</v>
      </c>
      <c r="I195" s="43">
        <f t="shared" ref="I195:I258" si="15">IF(OR(G195="",H195=""),"",G195-H195)</f>
        <v>0</v>
      </c>
      <c r="J195" s="43" t="str">
        <f t="shared" ref="J195:J258" si="16">IF(OR(B195="",C195=""),"",B195&amp;"|"&amp;C195)</f>
        <v>Egg Shop|Pullet 1</v>
      </c>
      <c r="K195" s="43" t="str">
        <f t="shared" si="12"/>
        <v>Cash</v>
      </c>
    </row>
    <row r="196" spans="1:11">
      <c r="A196" s="42">
        <v>46132</v>
      </c>
      <c r="B196" s="43" t="s">
        <v>24</v>
      </c>
      <c r="C196" s="43" t="s">
        <v>18</v>
      </c>
      <c r="D196" s="43">
        <v>5</v>
      </c>
      <c r="E196" s="43">
        <v>60</v>
      </c>
      <c r="F196" s="43">
        <v>60</v>
      </c>
      <c r="G196" s="43">
        <f t="shared" si="13"/>
        <v>300</v>
      </c>
      <c r="H196" s="43">
        <f t="shared" si="14"/>
        <v>300</v>
      </c>
      <c r="I196" s="43">
        <f t="shared" si="15"/>
        <v>0</v>
      </c>
      <c r="J196" s="43" t="str">
        <f t="shared" si="16"/>
        <v>Egg Shop|Large</v>
      </c>
      <c r="K196" s="43" t="str">
        <f t="shared" si="12"/>
        <v>Cash</v>
      </c>
    </row>
    <row r="197" spans="1:11">
      <c r="A197" s="42">
        <v>46132</v>
      </c>
      <c r="B197" s="43" t="s">
        <v>24</v>
      </c>
      <c r="C197" s="43" t="s">
        <v>22</v>
      </c>
      <c r="D197" s="43">
        <v>28</v>
      </c>
      <c r="E197" s="43">
        <v>58</v>
      </c>
      <c r="F197" s="43">
        <v>58</v>
      </c>
      <c r="G197" s="43">
        <f t="shared" si="13"/>
        <v>1624</v>
      </c>
      <c r="H197" s="43">
        <f t="shared" si="14"/>
        <v>1624</v>
      </c>
      <c r="I197" s="43">
        <f t="shared" si="15"/>
        <v>0</v>
      </c>
      <c r="J197" s="43" t="str">
        <f t="shared" si="16"/>
        <v>Egg Shop|Medium</v>
      </c>
      <c r="K197" s="43" t="str">
        <f t="shared" si="12"/>
        <v>Cash</v>
      </c>
    </row>
    <row r="198" spans="1:11">
      <c r="A198" s="42">
        <v>46132</v>
      </c>
      <c r="B198" s="43" t="s">
        <v>24</v>
      </c>
      <c r="C198" s="43" t="s">
        <v>26</v>
      </c>
      <c r="D198" s="43">
        <v>122.5</v>
      </c>
      <c r="E198" s="43">
        <v>55</v>
      </c>
      <c r="F198" s="43">
        <v>55</v>
      </c>
      <c r="G198" s="43">
        <f t="shared" si="13"/>
        <v>6737.5</v>
      </c>
      <c r="H198" s="43">
        <f t="shared" si="14"/>
        <v>6737.5</v>
      </c>
      <c r="I198" s="43">
        <f t="shared" si="15"/>
        <v>0</v>
      </c>
      <c r="J198" s="43" t="str">
        <f t="shared" si="16"/>
        <v>Egg Shop|Small</v>
      </c>
      <c r="K198" s="43" t="str">
        <f t="shared" si="12"/>
        <v>Cash</v>
      </c>
    </row>
    <row r="199" spans="1:11">
      <c r="A199" s="42">
        <v>46132</v>
      </c>
      <c r="B199" s="43" t="s">
        <v>24</v>
      </c>
      <c r="C199" s="43" t="s">
        <v>29</v>
      </c>
      <c r="D199" s="43">
        <v>69</v>
      </c>
      <c r="E199" s="43">
        <v>40</v>
      </c>
      <c r="F199" s="43">
        <v>40</v>
      </c>
      <c r="G199" s="43">
        <f t="shared" si="13"/>
        <v>2760</v>
      </c>
      <c r="H199" s="43">
        <f t="shared" si="14"/>
        <v>2760</v>
      </c>
      <c r="I199" s="43">
        <f t="shared" si="15"/>
        <v>0</v>
      </c>
      <c r="J199" s="43" t="str">
        <f t="shared" si="16"/>
        <v>Egg Shop|Pullet 1</v>
      </c>
      <c r="K199" s="43" t="str">
        <f t="shared" si="12"/>
        <v>Cash</v>
      </c>
    </row>
    <row r="200" spans="1:11">
      <c r="A200" s="42">
        <v>46132</v>
      </c>
      <c r="B200" s="43" t="s">
        <v>24</v>
      </c>
      <c r="C200" s="43" t="s">
        <v>31</v>
      </c>
      <c r="D200" s="43">
        <v>20</v>
      </c>
      <c r="E200" s="43">
        <v>35</v>
      </c>
      <c r="F200" s="43">
        <v>35</v>
      </c>
      <c r="G200" s="43">
        <f t="shared" si="13"/>
        <v>700</v>
      </c>
      <c r="H200" s="43">
        <f t="shared" si="14"/>
        <v>700</v>
      </c>
      <c r="I200" s="43">
        <f t="shared" si="15"/>
        <v>0</v>
      </c>
      <c r="J200" s="43" t="str">
        <f t="shared" si="16"/>
        <v>Egg Shop|Pullet 2</v>
      </c>
      <c r="K200" s="43" t="str">
        <f t="shared" si="12"/>
        <v>Cash</v>
      </c>
    </row>
    <row r="201" spans="1:11">
      <c r="A201" s="42">
        <v>46132</v>
      </c>
      <c r="B201" s="43" t="s">
        <v>24</v>
      </c>
      <c r="C201" s="43" t="s">
        <v>34</v>
      </c>
      <c r="D201" s="43">
        <v>0</v>
      </c>
      <c r="E201" s="43">
        <v>30</v>
      </c>
      <c r="F201" s="43">
        <v>30</v>
      </c>
      <c r="G201" s="43">
        <f t="shared" si="13"/>
        <v>0</v>
      </c>
      <c r="H201" s="43">
        <f t="shared" si="14"/>
        <v>0</v>
      </c>
      <c r="I201" s="43">
        <f t="shared" si="15"/>
        <v>0</v>
      </c>
      <c r="J201" s="43" t="str">
        <f t="shared" si="16"/>
        <v>Egg Shop|Broken</v>
      </c>
      <c r="K201" s="43" t="str">
        <f t="shared" si="12"/>
        <v>Cash</v>
      </c>
    </row>
    <row r="202" spans="1:11">
      <c r="A202" s="42">
        <v>46133</v>
      </c>
      <c r="B202" s="43" t="s">
        <v>24</v>
      </c>
      <c r="C202" s="43" t="s">
        <v>26</v>
      </c>
      <c r="D202" s="43">
        <v>54</v>
      </c>
      <c r="E202" s="43">
        <v>50</v>
      </c>
      <c r="F202" s="43">
        <v>50</v>
      </c>
      <c r="G202" s="43">
        <f t="shared" si="13"/>
        <v>2700</v>
      </c>
      <c r="H202" s="43">
        <f t="shared" si="14"/>
        <v>2700</v>
      </c>
      <c r="I202" s="43">
        <f t="shared" si="15"/>
        <v>0</v>
      </c>
      <c r="J202" s="43" t="str">
        <f t="shared" si="16"/>
        <v>Egg Shop|Small</v>
      </c>
      <c r="K202" s="43" t="str">
        <f t="shared" si="12"/>
        <v>Cash</v>
      </c>
    </row>
    <row r="203" spans="1:11">
      <c r="A203" s="42">
        <v>46133</v>
      </c>
      <c r="B203" s="43" t="s">
        <v>24</v>
      </c>
      <c r="C203" s="43" t="s">
        <v>29</v>
      </c>
      <c r="D203" s="43">
        <v>81</v>
      </c>
      <c r="E203" s="43">
        <v>40</v>
      </c>
      <c r="F203" s="43">
        <v>40</v>
      </c>
      <c r="G203" s="43">
        <f t="shared" si="13"/>
        <v>3240</v>
      </c>
      <c r="H203" s="43">
        <f t="shared" si="14"/>
        <v>3240</v>
      </c>
      <c r="I203" s="43">
        <f t="shared" si="15"/>
        <v>0</v>
      </c>
      <c r="J203" s="43" t="str">
        <f t="shared" si="16"/>
        <v>Egg Shop|Pullet 1</v>
      </c>
      <c r="K203" s="43" t="str">
        <f t="shared" si="12"/>
        <v>Cash</v>
      </c>
    </row>
    <row r="204" spans="1:11">
      <c r="A204" s="42">
        <v>46133</v>
      </c>
      <c r="B204" s="43" t="s">
        <v>24</v>
      </c>
      <c r="C204" s="43" t="s">
        <v>34</v>
      </c>
      <c r="D204" s="43">
        <v>5</v>
      </c>
      <c r="E204" s="43">
        <v>30</v>
      </c>
      <c r="F204" s="43">
        <v>30</v>
      </c>
      <c r="G204" s="43">
        <f t="shared" si="13"/>
        <v>150</v>
      </c>
      <c r="H204" s="43">
        <f t="shared" si="14"/>
        <v>150</v>
      </c>
      <c r="I204" s="43">
        <f t="shared" si="15"/>
        <v>0</v>
      </c>
      <c r="J204" s="43" t="str">
        <f t="shared" si="16"/>
        <v>Egg Shop|Broken</v>
      </c>
      <c r="K204" s="43" t="str">
        <f t="shared" si="12"/>
        <v>Cash</v>
      </c>
    </row>
    <row r="205" spans="1:11">
      <c r="A205" s="42">
        <v>46134</v>
      </c>
      <c r="B205" s="43" t="s">
        <v>24</v>
      </c>
      <c r="C205" s="43" t="s">
        <v>26</v>
      </c>
      <c r="D205" s="43">
        <v>22</v>
      </c>
      <c r="E205" s="43">
        <v>50</v>
      </c>
      <c r="F205" s="43">
        <v>50</v>
      </c>
      <c r="G205" s="43">
        <f t="shared" si="13"/>
        <v>1100</v>
      </c>
      <c r="H205" s="43">
        <f t="shared" si="14"/>
        <v>1100</v>
      </c>
      <c r="I205" s="43">
        <f t="shared" si="15"/>
        <v>0</v>
      </c>
      <c r="J205" s="43" t="str">
        <f t="shared" si="16"/>
        <v>Egg Shop|Small</v>
      </c>
      <c r="K205" s="43" t="str">
        <f t="shared" si="12"/>
        <v>Cash</v>
      </c>
    </row>
    <row r="206" spans="1:11">
      <c r="A206" s="42">
        <v>46134</v>
      </c>
      <c r="B206" s="43" t="s">
        <v>24</v>
      </c>
      <c r="C206" s="43" t="s">
        <v>29</v>
      </c>
      <c r="D206" s="43">
        <v>7</v>
      </c>
      <c r="E206" s="43">
        <v>40</v>
      </c>
      <c r="F206" s="43">
        <v>40</v>
      </c>
      <c r="G206" s="43">
        <f t="shared" si="13"/>
        <v>280</v>
      </c>
      <c r="H206" s="43">
        <f t="shared" si="14"/>
        <v>280</v>
      </c>
      <c r="I206" s="43">
        <f t="shared" si="15"/>
        <v>0</v>
      </c>
      <c r="J206" s="43" t="str">
        <f t="shared" si="16"/>
        <v>Egg Shop|Pullet 1</v>
      </c>
      <c r="K206" s="43" t="str">
        <f t="shared" si="12"/>
        <v>Cash</v>
      </c>
    </row>
    <row r="207" spans="1:11">
      <c r="A207" s="42">
        <v>46134</v>
      </c>
      <c r="B207" s="43" t="s">
        <v>24</v>
      </c>
      <c r="C207" s="43" t="s">
        <v>34</v>
      </c>
      <c r="D207" s="43">
        <v>2</v>
      </c>
      <c r="E207" s="43">
        <v>30</v>
      </c>
      <c r="F207" s="43">
        <v>30</v>
      </c>
      <c r="G207" s="43">
        <f t="shared" si="13"/>
        <v>60</v>
      </c>
      <c r="H207" s="43">
        <f t="shared" si="14"/>
        <v>60</v>
      </c>
      <c r="I207" s="43">
        <f t="shared" si="15"/>
        <v>0</v>
      </c>
      <c r="J207" s="43" t="str">
        <f t="shared" si="16"/>
        <v>Egg Shop|Broken</v>
      </c>
      <c r="K207" s="43" t="str">
        <f t="shared" si="12"/>
        <v>Cash</v>
      </c>
    </row>
    <row r="208" spans="1:11">
      <c r="A208" s="42">
        <v>46136</v>
      </c>
      <c r="B208" s="43" t="s">
        <v>24</v>
      </c>
      <c r="C208" s="43" t="s">
        <v>18</v>
      </c>
      <c r="D208" s="43">
        <v>6</v>
      </c>
      <c r="E208" s="43">
        <v>60</v>
      </c>
      <c r="F208" s="43">
        <v>60</v>
      </c>
      <c r="G208" s="43">
        <f t="shared" si="13"/>
        <v>360</v>
      </c>
      <c r="H208" s="43">
        <f t="shared" si="14"/>
        <v>360</v>
      </c>
      <c r="I208" s="43">
        <f t="shared" si="15"/>
        <v>0</v>
      </c>
      <c r="J208" s="43" t="str">
        <f t="shared" si="16"/>
        <v>Egg Shop|Large</v>
      </c>
      <c r="K208" s="43" t="str">
        <f t="shared" si="12"/>
        <v>Cash</v>
      </c>
    </row>
    <row r="209" spans="1:11">
      <c r="A209" s="42">
        <v>46136</v>
      </c>
      <c r="B209" s="43" t="s">
        <v>24</v>
      </c>
      <c r="C209" s="43" t="s">
        <v>22</v>
      </c>
      <c r="D209" s="43">
        <v>26</v>
      </c>
      <c r="E209" s="43">
        <v>58</v>
      </c>
      <c r="F209" s="43">
        <v>58</v>
      </c>
      <c r="G209" s="43">
        <f t="shared" si="13"/>
        <v>1508</v>
      </c>
      <c r="H209" s="43">
        <f t="shared" si="14"/>
        <v>1508</v>
      </c>
      <c r="I209" s="43">
        <f t="shared" si="15"/>
        <v>0</v>
      </c>
      <c r="J209" s="43" t="str">
        <f t="shared" si="16"/>
        <v>Egg Shop|Medium</v>
      </c>
      <c r="K209" s="43" t="str">
        <f t="shared" si="12"/>
        <v>Cash</v>
      </c>
    </row>
    <row r="210" spans="1:11">
      <c r="A210" s="42">
        <v>46136</v>
      </c>
      <c r="B210" s="43" t="s">
        <v>24</v>
      </c>
      <c r="C210" s="43" t="s">
        <v>26</v>
      </c>
      <c r="D210" s="43">
        <v>126</v>
      </c>
      <c r="E210" s="43">
        <v>50</v>
      </c>
      <c r="F210" s="43">
        <v>50</v>
      </c>
      <c r="G210" s="43">
        <f t="shared" si="13"/>
        <v>6300</v>
      </c>
      <c r="H210" s="43">
        <f t="shared" si="14"/>
        <v>6300</v>
      </c>
      <c r="I210" s="43">
        <f t="shared" si="15"/>
        <v>0</v>
      </c>
      <c r="J210" s="43" t="str">
        <f t="shared" si="16"/>
        <v>Egg Shop|Small</v>
      </c>
      <c r="K210" s="43" t="str">
        <f t="shared" ref="K210:K273" si="17">IF(A210&lt;&gt;"","Cash","")</f>
        <v>Cash</v>
      </c>
    </row>
    <row r="211" spans="1:11">
      <c r="A211" s="42">
        <v>46136</v>
      </c>
      <c r="B211" s="43" t="s">
        <v>24</v>
      </c>
      <c r="C211" s="43" t="s">
        <v>29</v>
      </c>
      <c r="D211" s="43">
        <v>185</v>
      </c>
      <c r="E211" s="43">
        <v>40</v>
      </c>
      <c r="F211" s="43">
        <v>40</v>
      </c>
      <c r="G211" s="43">
        <f t="shared" si="13"/>
        <v>7400</v>
      </c>
      <c r="H211" s="43">
        <f t="shared" si="14"/>
        <v>7400</v>
      </c>
      <c r="I211" s="43">
        <f t="shared" si="15"/>
        <v>0</v>
      </c>
      <c r="J211" s="43" t="str">
        <f t="shared" si="16"/>
        <v>Egg Shop|Pullet 1</v>
      </c>
      <c r="K211" s="43" t="str">
        <f t="shared" si="17"/>
        <v>Cash</v>
      </c>
    </row>
    <row r="212" spans="1:11">
      <c r="A212" s="42">
        <v>46136</v>
      </c>
      <c r="B212" s="43" t="s">
        <v>24</v>
      </c>
      <c r="C212" s="43" t="s">
        <v>31</v>
      </c>
      <c r="D212" s="43">
        <v>21</v>
      </c>
      <c r="E212" s="43">
        <v>35</v>
      </c>
      <c r="F212" s="43">
        <v>35</v>
      </c>
      <c r="G212" s="43">
        <f t="shared" si="13"/>
        <v>735</v>
      </c>
      <c r="H212" s="43">
        <f t="shared" si="14"/>
        <v>735</v>
      </c>
      <c r="I212" s="43">
        <f t="shared" si="15"/>
        <v>0</v>
      </c>
      <c r="J212" s="43" t="str">
        <f t="shared" si="16"/>
        <v>Egg Shop|Pullet 2</v>
      </c>
      <c r="K212" s="43" t="str">
        <f t="shared" si="17"/>
        <v>Cash</v>
      </c>
    </row>
    <row r="213" spans="1:11">
      <c r="A213" s="42">
        <v>46136</v>
      </c>
      <c r="B213" s="43" t="s">
        <v>24</v>
      </c>
      <c r="C213" s="43" t="s">
        <v>34</v>
      </c>
      <c r="D213" s="43">
        <v>2.5</v>
      </c>
      <c r="E213" s="43">
        <v>30</v>
      </c>
      <c r="F213" s="43">
        <v>30</v>
      </c>
      <c r="G213" s="43">
        <f t="shared" si="13"/>
        <v>75</v>
      </c>
      <c r="H213" s="43">
        <f t="shared" si="14"/>
        <v>75</v>
      </c>
      <c r="I213" s="43">
        <f t="shared" si="15"/>
        <v>0</v>
      </c>
      <c r="J213" s="43" t="str">
        <f t="shared" si="16"/>
        <v>Egg Shop|Broken</v>
      </c>
      <c r="K213" s="43" t="str">
        <f t="shared" si="17"/>
        <v>Cash</v>
      </c>
    </row>
    <row r="214" spans="1:11">
      <c r="A214" s="42">
        <v>46137</v>
      </c>
      <c r="B214" s="43" t="s">
        <v>24</v>
      </c>
      <c r="C214" s="43" t="s">
        <v>26</v>
      </c>
      <c r="D214" s="43">
        <v>2.5</v>
      </c>
      <c r="E214" s="43">
        <v>50</v>
      </c>
      <c r="F214" s="43">
        <v>50</v>
      </c>
      <c r="G214" s="43">
        <f t="shared" si="13"/>
        <v>125</v>
      </c>
      <c r="H214" s="43">
        <f t="shared" si="14"/>
        <v>125</v>
      </c>
      <c r="I214" s="43">
        <f t="shared" si="15"/>
        <v>0</v>
      </c>
      <c r="J214" s="43" t="str">
        <f t="shared" si="16"/>
        <v>Egg Shop|Small</v>
      </c>
      <c r="K214" s="43" t="str">
        <f t="shared" si="17"/>
        <v>Cash</v>
      </c>
    </row>
    <row r="215" spans="1:11">
      <c r="A215" s="42">
        <v>46137</v>
      </c>
      <c r="B215" s="43" t="s">
        <v>24</v>
      </c>
      <c r="C215" s="43" t="s">
        <v>29</v>
      </c>
      <c r="D215" s="43">
        <v>4</v>
      </c>
      <c r="E215" s="43">
        <v>40</v>
      </c>
      <c r="F215" s="43">
        <v>40</v>
      </c>
      <c r="G215" s="43">
        <f t="shared" si="13"/>
        <v>160</v>
      </c>
      <c r="H215" s="43">
        <f t="shared" si="14"/>
        <v>160</v>
      </c>
      <c r="I215" s="43">
        <f t="shared" si="15"/>
        <v>0</v>
      </c>
      <c r="J215" s="43" t="str">
        <f t="shared" si="16"/>
        <v>Egg Shop|Pullet 1</v>
      </c>
      <c r="K215" s="43" t="str">
        <f t="shared" si="17"/>
        <v>Cash</v>
      </c>
    </row>
    <row r="216" spans="1:11">
      <c r="A216" s="42">
        <v>46139</v>
      </c>
      <c r="B216" s="43" t="s">
        <v>24</v>
      </c>
      <c r="C216" s="43" t="s">
        <v>18</v>
      </c>
      <c r="D216" s="43">
        <v>1</v>
      </c>
      <c r="E216" s="43">
        <v>60</v>
      </c>
      <c r="F216" s="43">
        <v>60</v>
      </c>
      <c r="G216" s="43">
        <f t="shared" si="13"/>
        <v>60</v>
      </c>
      <c r="H216" s="43">
        <f t="shared" si="14"/>
        <v>60</v>
      </c>
      <c r="I216" s="43">
        <f t="shared" si="15"/>
        <v>0</v>
      </c>
      <c r="J216" s="43" t="str">
        <f t="shared" si="16"/>
        <v>Egg Shop|Large</v>
      </c>
      <c r="K216" s="43" t="str">
        <f t="shared" si="17"/>
        <v>Cash</v>
      </c>
    </row>
    <row r="217" spans="1:11">
      <c r="A217" s="42">
        <v>46139</v>
      </c>
      <c r="B217" s="43" t="s">
        <v>24</v>
      </c>
      <c r="C217" s="43" t="s">
        <v>22</v>
      </c>
      <c r="D217" s="43">
        <v>23</v>
      </c>
      <c r="E217" s="43">
        <v>58</v>
      </c>
      <c r="F217" s="43">
        <v>58</v>
      </c>
      <c r="G217" s="43">
        <f t="shared" si="13"/>
        <v>1334</v>
      </c>
      <c r="H217" s="43">
        <f t="shared" si="14"/>
        <v>1334</v>
      </c>
      <c r="I217" s="43">
        <f t="shared" si="15"/>
        <v>0</v>
      </c>
      <c r="J217" s="43" t="str">
        <f t="shared" si="16"/>
        <v>Egg Shop|Medium</v>
      </c>
      <c r="K217" s="43" t="str">
        <f t="shared" si="17"/>
        <v>Cash</v>
      </c>
    </row>
    <row r="218" spans="1:11">
      <c r="A218" s="42">
        <v>46139</v>
      </c>
      <c r="B218" s="43" t="s">
        <v>24</v>
      </c>
      <c r="C218" s="43" t="s">
        <v>26</v>
      </c>
      <c r="D218" s="43">
        <v>83.5</v>
      </c>
      <c r="E218" s="43">
        <v>50</v>
      </c>
      <c r="F218" s="43">
        <v>50</v>
      </c>
      <c r="G218" s="43">
        <f t="shared" si="13"/>
        <v>4175</v>
      </c>
      <c r="H218" s="43">
        <f t="shared" si="14"/>
        <v>4175</v>
      </c>
      <c r="I218" s="43">
        <f t="shared" si="15"/>
        <v>0</v>
      </c>
      <c r="J218" s="43" t="str">
        <f t="shared" si="16"/>
        <v>Egg Shop|Small</v>
      </c>
      <c r="K218" s="43" t="str">
        <f t="shared" si="17"/>
        <v>Cash</v>
      </c>
    </row>
    <row r="219" spans="1:11">
      <c r="A219" s="42">
        <v>46139</v>
      </c>
      <c r="B219" s="43" t="s">
        <v>24</v>
      </c>
      <c r="C219" s="43" t="s">
        <v>29</v>
      </c>
      <c r="D219" s="43">
        <v>75</v>
      </c>
      <c r="E219" s="43">
        <v>40</v>
      </c>
      <c r="F219" s="43">
        <v>40</v>
      </c>
      <c r="G219" s="43">
        <f t="shared" si="13"/>
        <v>3000</v>
      </c>
      <c r="H219" s="43">
        <f t="shared" si="14"/>
        <v>3000</v>
      </c>
      <c r="I219" s="43">
        <f t="shared" si="15"/>
        <v>0</v>
      </c>
      <c r="J219" s="43" t="str">
        <f t="shared" si="16"/>
        <v>Egg Shop|Pullet 1</v>
      </c>
      <c r="K219" s="43" t="str">
        <f t="shared" si="17"/>
        <v>Cash</v>
      </c>
    </row>
    <row r="220" spans="1:11">
      <c r="A220" s="42">
        <v>46139</v>
      </c>
      <c r="B220" s="43" t="s">
        <v>24</v>
      </c>
      <c r="C220" s="43" t="s">
        <v>31</v>
      </c>
      <c r="D220" s="43">
        <v>12</v>
      </c>
      <c r="E220" s="43">
        <v>35</v>
      </c>
      <c r="F220" s="43">
        <v>35</v>
      </c>
      <c r="G220" s="43">
        <f t="shared" si="13"/>
        <v>420</v>
      </c>
      <c r="H220" s="43">
        <f t="shared" si="14"/>
        <v>420</v>
      </c>
      <c r="I220" s="43">
        <f t="shared" si="15"/>
        <v>0</v>
      </c>
      <c r="J220" s="43" t="str">
        <f t="shared" si="16"/>
        <v>Egg Shop|Pullet 2</v>
      </c>
      <c r="K220" s="43" t="str">
        <f t="shared" si="17"/>
        <v>Cash</v>
      </c>
    </row>
    <row r="221" spans="1:11">
      <c r="A221" s="42">
        <v>46139</v>
      </c>
      <c r="B221" s="43" t="s">
        <v>24</v>
      </c>
      <c r="C221" s="43" t="s">
        <v>34</v>
      </c>
      <c r="D221" s="43">
        <v>0</v>
      </c>
      <c r="E221" s="43">
        <v>30</v>
      </c>
      <c r="F221" s="43">
        <v>30</v>
      </c>
      <c r="G221" s="43">
        <f t="shared" si="13"/>
        <v>0</v>
      </c>
      <c r="H221" s="43">
        <f t="shared" si="14"/>
        <v>0</v>
      </c>
      <c r="I221" s="43">
        <f t="shared" si="15"/>
        <v>0</v>
      </c>
      <c r="J221" s="43" t="str">
        <f t="shared" si="16"/>
        <v>Egg Shop|Broken</v>
      </c>
      <c r="K221" s="43" t="str">
        <f t="shared" si="17"/>
        <v>Cash</v>
      </c>
    </row>
    <row r="222" spans="1:11">
      <c r="A222" s="42">
        <v>46140</v>
      </c>
      <c r="B222" s="43" t="s">
        <v>24</v>
      </c>
      <c r="C222" s="43" t="s">
        <v>18</v>
      </c>
      <c r="D222" s="43">
        <v>0</v>
      </c>
      <c r="E222" s="43">
        <v>60</v>
      </c>
      <c r="F222" s="43">
        <v>60</v>
      </c>
      <c r="G222" s="43">
        <f t="shared" si="13"/>
        <v>0</v>
      </c>
      <c r="H222" s="43">
        <f t="shared" si="14"/>
        <v>0</v>
      </c>
      <c r="I222" s="43">
        <f t="shared" si="15"/>
        <v>0</v>
      </c>
      <c r="J222" s="43" t="str">
        <f t="shared" si="16"/>
        <v>Egg Shop|Large</v>
      </c>
      <c r="K222" s="43" t="str">
        <f t="shared" si="17"/>
        <v>Cash</v>
      </c>
    </row>
    <row r="223" spans="1:11">
      <c r="A223" s="42">
        <v>46140</v>
      </c>
      <c r="B223" s="43" t="s">
        <v>24</v>
      </c>
      <c r="C223" s="43" t="s">
        <v>22</v>
      </c>
      <c r="D223" s="43">
        <v>24</v>
      </c>
      <c r="E223" s="43">
        <v>58</v>
      </c>
      <c r="F223" s="43">
        <v>58</v>
      </c>
      <c r="G223" s="43">
        <f t="shared" si="13"/>
        <v>1392</v>
      </c>
      <c r="H223" s="43">
        <f t="shared" si="14"/>
        <v>1392</v>
      </c>
      <c r="I223" s="43">
        <f t="shared" si="15"/>
        <v>0</v>
      </c>
      <c r="J223" s="43" t="str">
        <f t="shared" si="16"/>
        <v>Egg Shop|Medium</v>
      </c>
      <c r="K223" s="43" t="str">
        <f t="shared" si="17"/>
        <v>Cash</v>
      </c>
    </row>
    <row r="224" spans="1:11">
      <c r="A224" s="42">
        <v>46140</v>
      </c>
      <c r="B224" s="43" t="s">
        <v>24</v>
      </c>
      <c r="C224" s="43" t="s">
        <v>26</v>
      </c>
      <c r="D224" s="43">
        <v>41</v>
      </c>
      <c r="E224" s="43">
        <v>50</v>
      </c>
      <c r="F224" s="43">
        <v>50</v>
      </c>
      <c r="G224" s="43">
        <f t="shared" si="13"/>
        <v>2050</v>
      </c>
      <c r="H224" s="43">
        <f t="shared" si="14"/>
        <v>2050</v>
      </c>
      <c r="I224" s="43">
        <f t="shared" si="15"/>
        <v>0</v>
      </c>
      <c r="J224" s="43" t="str">
        <f t="shared" si="16"/>
        <v>Egg Shop|Small</v>
      </c>
      <c r="K224" s="43" t="str">
        <f t="shared" si="17"/>
        <v>Cash</v>
      </c>
    </row>
    <row r="225" spans="1:11">
      <c r="A225" s="42">
        <v>46140</v>
      </c>
      <c r="B225" s="43" t="s">
        <v>24</v>
      </c>
      <c r="C225" s="43" t="s">
        <v>29</v>
      </c>
      <c r="D225" s="43">
        <v>44</v>
      </c>
      <c r="E225" s="43">
        <v>40</v>
      </c>
      <c r="F225" s="43">
        <v>40</v>
      </c>
      <c r="G225" s="43">
        <f t="shared" si="13"/>
        <v>1760</v>
      </c>
      <c r="H225" s="43">
        <f t="shared" si="14"/>
        <v>1760</v>
      </c>
      <c r="I225" s="43">
        <f t="shared" si="15"/>
        <v>0</v>
      </c>
      <c r="J225" s="43" t="str">
        <f t="shared" si="16"/>
        <v>Egg Shop|Pullet 1</v>
      </c>
      <c r="K225" s="43" t="str">
        <f t="shared" si="17"/>
        <v>Cash</v>
      </c>
    </row>
    <row r="226" spans="1:11">
      <c r="A226" s="42">
        <v>46140</v>
      </c>
      <c r="B226" s="43" t="s">
        <v>24</v>
      </c>
      <c r="C226" s="43" t="s">
        <v>31</v>
      </c>
      <c r="D226" s="43">
        <v>5</v>
      </c>
      <c r="E226" s="43">
        <v>35</v>
      </c>
      <c r="F226" s="43">
        <v>35</v>
      </c>
      <c r="G226" s="43">
        <f t="shared" si="13"/>
        <v>175</v>
      </c>
      <c r="H226" s="43">
        <f t="shared" si="14"/>
        <v>175</v>
      </c>
      <c r="I226" s="43">
        <f t="shared" si="15"/>
        <v>0</v>
      </c>
      <c r="J226" s="43" t="str">
        <f t="shared" si="16"/>
        <v>Egg Shop|Pullet 2</v>
      </c>
      <c r="K226" s="43" t="str">
        <f t="shared" si="17"/>
        <v>Cash</v>
      </c>
    </row>
    <row r="227" spans="1:11">
      <c r="A227" s="42">
        <v>46140</v>
      </c>
      <c r="B227" s="43" t="s">
        <v>24</v>
      </c>
      <c r="C227" s="43" t="s">
        <v>34</v>
      </c>
      <c r="D227" s="43">
        <v>0</v>
      </c>
      <c r="E227" s="43">
        <v>30</v>
      </c>
      <c r="F227" s="43">
        <v>30</v>
      </c>
      <c r="G227" s="43">
        <f t="shared" si="13"/>
        <v>0</v>
      </c>
      <c r="H227" s="43">
        <f t="shared" si="14"/>
        <v>0</v>
      </c>
      <c r="I227" s="43">
        <f t="shared" si="15"/>
        <v>0</v>
      </c>
      <c r="J227" s="43" t="str">
        <f t="shared" si="16"/>
        <v>Egg Shop|Broken</v>
      </c>
      <c r="K227" s="43" t="str">
        <f t="shared" si="17"/>
        <v>Cash</v>
      </c>
    </row>
    <row r="228" spans="1:11">
      <c r="A228" s="42">
        <v>46141</v>
      </c>
      <c r="B228" s="43" t="s">
        <v>24</v>
      </c>
      <c r="C228" s="43" t="s">
        <v>26</v>
      </c>
      <c r="D228" s="43">
        <v>7.5</v>
      </c>
      <c r="E228" s="43">
        <v>50</v>
      </c>
      <c r="F228" s="43">
        <v>50</v>
      </c>
      <c r="G228" s="43">
        <f t="shared" si="13"/>
        <v>375</v>
      </c>
      <c r="H228" s="43">
        <f t="shared" si="14"/>
        <v>375</v>
      </c>
      <c r="I228" s="43">
        <f t="shared" si="15"/>
        <v>0</v>
      </c>
      <c r="J228" s="43" t="str">
        <f t="shared" si="16"/>
        <v>Egg Shop|Small</v>
      </c>
      <c r="K228" s="43" t="str">
        <f t="shared" si="17"/>
        <v>Cash</v>
      </c>
    </row>
    <row r="229" spans="1:11">
      <c r="A229" s="42">
        <v>46141</v>
      </c>
      <c r="B229" s="43" t="s">
        <v>24</v>
      </c>
      <c r="C229" s="43" t="s">
        <v>34</v>
      </c>
      <c r="D229" s="43">
        <v>4</v>
      </c>
      <c r="E229" s="43">
        <v>0</v>
      </c>
      <c r="F229" s="43">
        <v>0</v>
      </c>
      <c r="G229" s="43">
        <f t="shared" si="13"/>
        <v>0</v>
      </c>
      <c r="H229" s="43">
        <f t="shared" si="14"/>
        <v>0</v>
      </c>
      <c r="I229" s="43">
        <f t="shared" si="15"/>
        <v>0</v>
      </c>
      <c r="J229" s="43" t="str">
        <f t="shared" si="16"/>
        <v>Egg Shop|Broken</v>
      </c>
      <c r="K229" s="43" t="str">
        <f t="shared" si="17"/>
        <v>Cash</v>
      </c>
    </row>
    <row r="230" spans="1:11">
      <c r="A230" s="42">
        <v>46144</v>
      </c>
      <c r="B230" s="43" t="s">
        <v>24</v>
      </c>
      <c r="C230" s="43" t="s">
        <v>14</v>
      </c>
      <c r="D230" s="43">
        <v>2</v>
      </c>
      <c r="E230" s="43">
        <v>70</v>
      </c>
      <c r="F230" s="43">
        <v>70</v>
      </c>
      <c r="G230" s="43">
        <f t="shared" si="13"/>
        <v>140</v>
      </c>
      <c r="H230" s="43">
        <f t="shared" si="14"/>
        <v>140</v>
      </c>
      <c r="I230" s="43">
        <f t="shared" si="15"/>
        <v>0</v>
      </c>
      <c r="J230" s="43" t="str">
        <f t="shared" si="16"/>
        <v>Egg Shop|Extra Large</v>
      </c>
      <c r="K230" s="43" t="str">
        <f t="shared" si="17"/>
        <v>Cash</v>
      </c>
    </row>
    <row r="231" spans="1:11">
      <c r="A231" s="42">
        <v>46144</v>
      </c>
      <c r="B231" s="43" t="s">
        <v>24</v>
      </c>
      <c r="C231" s="43" t="s">
        <v>18</v>
      </c>
      <c r="D231" s="43">
        <v>14</v>
      </c>
      <c r="E231" s="43">
        <v>60</v>
      </c>
      <c r="F231" s="43">
        <v>60</v>
      </c>
      <c r="G231" s="43">
        <f t="shared" si="13"/>
        <v>840</v>
      </c>
      <c r="H231" s="43">
        <f t="shared" si="14"/>
        <v>840</v>
      </c>
      <c r="I231" s="43">
        <f t="shared" si="15"/>
        <v>0</v>
      </c>
      <c r="J231" s="43" t="str">
        <f t="shared" si="16"/>
        <v>Egg Shop|Large</v>
      </c>
      <c r="K231" s="43" t="str">
        <f t="shared" si="17"/>
        <v>Cash</v>
      </c>
    </row>
    <row r="232" spans="1:11">
      <c r="A232" s="42">
        <v>46144</v>
      </c>
      <c r="B232" s="43" t="s">
        <v>24</v>
      </c>
      <c r="C232" s="43" t="s">
        <v>22</v>
      </c>
      <c r="D232" s="43">
        <v>22</v>
      </c>
      <c r="E232" s="43">
        <v>58</v>
      </c>
      <c r="F232" s="43">
        <v>58</v>
      </c>
      <c r="G232" s="43">
        <f t="shared" si="13"/>
        <v>1276</v>
      </c>
      <c r="H232" s="43">
        <f t="shared" si="14"/>
        <v>1276</v>
      </c>
      <c r="I232" s="43">
        <f t="shared" si="15"/>
        <v>0</v>
      </c>
      <c r="J232" s="43" t="str">
        <f t="shared" si="16"/>
        <v>Egg Shop|Medium</v>
      </c>
      <c r="K232" s="43" t="str">
        <f t="shared" si="17"/>
        <v>Cash</v>
      </c>
    </row>
    <row r="233" spans="1:11">
      <c r="A233" s="42">
        <v>46144</v>
      </c>
      <c r="B233" s="43" t="s">
        <v>24</v>
      </c>
      <c r="C233" s="43" t="s">
        <v>26</v>
      </c>
      <c r="D233" s="43">
        <v>73</v>
      </c>
      <c r="E233" s="43">
        <v>50</v>
      </c>
      <c r="F233" s="43">
        <v>50</v>
      </c>
      <c r="G233" s="43">
        <f t="shared" si="13"/>
        <v>3650</v>
      </c>
      <c r="H233" s="43">
        <f t="shared" si="14"/>
        <v>3650</v>
      </c>
      <c r="I233" s="43">
        <f t="shared" si="15"/>
        <v>0</v>
      </c>
      <c r="J233" s="43" t="str">
        <f t="shared" si="16"/>
        <v>Egg Shop|Small</v>
      </c>
      <c r="K233" s="43" t="str">
        <f t="shared" si="17"/>
        <v>Cash</v>
      </c>
    </row>
    <row r="234" spans="1:11">
      <c r="A234" s="42">
        <v>46144</v>
      </c>
      <c r="B234" s="43" t="s">
        <v>24</v>
      </c>
      <c r="C234" s="43" t="s">
        <v>29</v>
      </c>
      <c r="D234" s="43">
        <v>119</v>
      </c>
      <c r="E234" s="43">
        <v>46</v>
      </c>
      <c r="F234" s="43">
        <v>46</v>
      </c>
      <c r="G234" s="43">
        <f t="shared" si="13"/>
        <v>5474</v>
      </c>
      <c r="H234" s="43">
        <f t="shared" si="14"/>
        <v>5474</v>
      </c>
      <c r="I234" s="43">
        <f t="shared" si="15"/>
        <v>0</v>
      </c>
      <c r="J234" s="43" t="str">
        <f t="shared" si="16"/>
        <v>Egg Shop|Pullet 1</v>
      </c>
      <c r="K234" s="43" t="str">
        <f t="shared" si="17"/>
        <v>Cash</v>
      </c>
    </row>
    <row r="235" spans="1:11">
      <c r="A235" s="42">
        <v>46144</v>
      </c>
      <c r="B235" s="43" t="s">
        <v>24</v>
      </c>
      <c r="C235" s="43" t="s">
        <v>31</v>
      </c>
      <c r="D235" s="43">
        <v>28</v>
      </c>
      <c r="E235" s="43">
        <v>35</v>
      </c>
      <c r="F235" s="43">
        <v>35</v>
      </c>
      <c r="G235" s="43">
        <f t="shared" si="13"/>
        <v>980</v>
      </c>
      <c r="H235" s="43">
        <f t="shared" si="14"/>
        <v>980</v>
      </c>
      <c r="I235" s="43">
        <f t="shared" si="15"/>
        <v>0</v>
      </c>
      <c r="J235" s="43" t="str">
        <f t="shared" si="16"/>
        <v>Egg Shop|Pullet 2</v>
      </c>
      <c r="K235" s="43" t="str">
        <f t="shared" si="17"/>
        <v>Cash</v>
      </c>
    </row>
    <row r="236" spans="1:11">
      <c r="A236" s="42">
        <v>46144</v>
      </c>
      <c r="B236" s="43" t="s">
        <v>24</v>
      </c>
      <c r="C236" s="43" t="s">
        <v>34</v>
      </c>
      <c r="D236" s="43">
        <v>0</v>
      </c>
      <c r="E236" s="43">
        <v>30</v>
      </c>
      <c r="F236" s="43">
        <v>30</v>
      </c>
      <c r="G236" s="43">
        <f t="shared" si="13"/>
        <v>0</v>
      </c>
      <c r="H236" s="43">
        <f t="shared" si="14"/>
        <v>0</v>
      </c>
      <c r="I236" s="43">
        <f t="shared" si="15"/>
        <v>0</v>
      </c>
      <c r="J236" s="43" t="str">
        <f t="shared" si="16"/>
        <v>Egg Shop|Broken</v>
      </c>
      <c r="K236" s="43" t="str">
        <f t="shared" si="17"/>
        <v>Cash</v>
      </c>
    </row>
    <row r="237" spans="1:11">
      <c r="A237" s="42">
        <v>46146</v>
      </c>
      <c r="B237" s="43" t="s">
        <v>24</v>
      </c>
      <c r="C237" s="43" t="s">
        <v>22</v>
      </c>
      <c r="D237" s="43">
        <v>1</v>
      </c>
      <c r="E237" s="43">
        <v>58</v>
      </c>
      <c r="F237" s="43">
        <v>58</v>
      </c>
      <c r="G237" s="43">
        <f t="shared" si="13"/>
        <v>58</v>
      </c>
      <c r="H237" s="43">
        <f t="shared" si="14"/>
        <v>58</v>
      </c>
      <c r="I237" s="43">
        <f t="shared" si="15"/>
        <v>0</v>
      </c>
      <c r="J237" s="43" t="str">
        <f t="shared" si="16"/>
        <v>Egg Shop|Medium</v>
      </c>
      <c r="K237" s="43" t="str">
        <f t="shared" si="17"/>
        <v>Cash</v>
      </c>
    </row>
    <row r="238" spans="1:11">
      <c r="A238" s="42">
        <v>46146</v>
      </c>
      <c r="B238" s="43" t="s">
        <v>24</v>
      </c>
      <c r="C238" s="43" t="s">
        <v>26</v>
      </c>
      <c r="D238" s="43">
        <v>15</v>
      </c>
      <c r="E238" s="43">
        <v>53</v>
      </c>
      <c r="F238" s="43">
        <v>53</v>
      </c>
      <c r="G238" s="43">
        <f t="shared" si="13"/>
        <v>795</v>
      </c>
      <c r="H238" s="43">
        <f t="shared" si="14"/>
        <v>795</v>
      </c>
      <c r="I238" s="43">
        <f t="shared" si="15"/>
        <v>0</v>
      </c>
      <c r="J238" s="43" t="str">
        <f t="shared" si="16"/>
        <v>Egg Shop|Small</v>
      </c>
      <c r="K238" s="43" t="str">
        <f t="shared" si="17"/>
        <v>Cash</v>
      </c>
    </row>
    <row r="239" spans="1:11">
      <c r="A239" s="42">
        <v>46146</v>
      </c>
      <c r="B239" s="43" t="s">
        <v>24</v>
      </c>
      <c r="C239" s="43" t="s">
        <v>29</v>
      </c>
      <c r="D239" s="43">
        <v>16</v>
      </c>
      <c r="E239" s="43">
        <v>46</v>
      </c>
      <c r="F239" s="43">
        <v>46</v>
      </c>
      <c r="G239" s="43">
        <f t="shared" si="13"/>
        <v>736</v>
      </c>
      <c r="H239" s="43">
        <f t="shared" si="14"/>
        <v>736</v>
      </c>
      <c r="I239" s="43">
        <f t="shared" si="15"/>
        <v>0</v>
      </c>
      <c r="J239" s="43" t="str">
        <f t="shared" si="16"/>
        <v>Egg Shop|Pullet 1</v>
      </c>
      <c r="K239" s="43" t="str">
        <f t="shared" si="17"/>
        <v>Cash</v>
      </c>
    </row>
    <row r="240" spans="1:11">
      <c r="A240" s="42">
        <v>46146</v>
      </c>
      <c r="B240" s="43" t="s">
        <v>24</v>
      </c>
      <c r="C240" s="43" t="s">
        <v>31</v>
      </c>
      <c r="D240" s="43">
        <v>8</v>
      </c>
      <c r="E240" s="43">
        <v>35</v>
      </c>
      <c r="F240" s="43">
        <v>35</v>
      </c>
      <c r="G240" s="43">
        <f t="shared" si="13"/>
        <v>280</v>
      </c>
      <c r="H240" s="43">
        <f t="shared" si="14"/>
        <v>280</v>
      </c>
      <c r="I240" s="43">
        <f t="shared" si="15"/>
        <v>0</v>
      </c>
      <c r="J240" s="43" t="str">
        <f t="shared" si="16"/>
        <v>Egg Shop|Pullet 2</v>
      </c>
      <c r="K240" s="43" t="str">
        <f t="shared" si="17"/>
        <v>Cash</v>
      </c>
    </row>
    <row r="241" spans="1:11">
      <c r="A241" s="42">
        <v>46146</v>
      </c>
      <c r="B241" s="24" t="s">
        <v>12</v>
      </c>
      <c r="C241" s="24" t="s">
        <v>13</v>
      </c>
      <c r="D241" s="24">
        <v>17</v>
      </c>
      <c r="E241" s="24">
        <v>365</v>
      </c>
      <c r="F241" s="43">
        <f>IF(B241="Egg Shop","",IF(J241="","",IFERROR(LOOKUP(2,1/(Purchases!$H$3:$H$2002=J241),Purchases!$F$3:$F$2002),"")))</f>
        <v>352</v>
      </c>
      <c r="G241" s="43">
        <f t="shared" si="13"/>
        <v>6205</v>
      </c>
      <c r="H241" s="43">
        <f t="shared" si="14"/>
        <v>5984</v>
      </c>
      <c r="I241" s="43">
        <f t="shared" si="15"/>
        <v>221</v>
      </c>
      <c r="J241" s="43" t="str">
        <f t="shared" si="16"/>
        <v>Akatsi Feed|LM</v>
      </c>
      <c r="K241" s="43" t="str">
        <f t="shared" si="17"/>
        <v>Cash</v>
      </c>
    </row>
    <row r="242" spans="1:11">
      <c r="A242" s="42">
        <v>46146</v>
      </c>
      <c r="B242" s="24" t="s">
        <v>12</v>
      </c>
      <c r="C242" s="24" t="s">
        <v>17</v>
      </c>
      <c r="D242" s="24">
        <v>1</v>
      </c>
      <c r="E242" s="24">
        <v>350</v>
      </c>
      <c r="F242" s="43">
        <f>IF(B242="Egg Shop","",IF(J242="","",IFERROR(LOOKUP(2,1/(Purchases!$H$3:$H$2002=J242),Purchases!$F$3:$F$2002),"")))</f>
        <v>340</v>
      </c>
      <c r="G242" s="43">
        <f t="shared" si="13"/>
        <v>350</v>
      </c>
      <c r="H242" s="43">
        <f t="shared" si="14"/>
        <v>340</v>
      </c>
      <c r="I242" s="43">
        <f t="shared" si="15"/>
        <v>10</v>
      </c>
      <c r="J242" s="43" t="str">
        <f t="shared" si="16"/>
        <v>Akatsi Feed|GM</v>
      </c>
      <c r="K242" s="43" t="str">
        <f t="shared" si="17"/>
        <v>Cash</v>
      </c>
    </row>
    <row r="243" spans="1:11">
      <c r="A243" s="42">
        <v>46146</v>
      </c>
      <c r="B243" s="43" t="s">
        <v>16</v>
      </c>
      <c r="C243" s="43" t="s">
        <v>13</v>
      </c>
      <c r="D243" s="43">
        <v>10</v>
      </c>
      <c r="E243" s="43">
        <v>365</v>
      </c>
      <c r="F243" s="43">
        <f>IF(B243="Egg Shop","",IF(J243="","",IFERROR(LOOKUP(2,1/(Purchases!$H$3:$H$2002=J243),Purchases!$F$3:$F$2002),"")))</f>
        <v>352</v>
      </c>
      <c r="G243" s="43">
        <f t="shared" si="13"/>
        <v>3650</v>
      </c>
      <c r="H243" s="43">
        <f t="shared" si="14"/>
        <v>3520</v>
      </c>
      <c r="I243" s="43">
        <f t="shared" si="15"/>
        <v>130</v>
      </c>
      <c r="J243" s="43" t="str">
        <f t="shared" si="16"/>
        <v>Abor Feed|LM</v>
      </c>
      <c r="K243" s="43" t="str">
        <f t="shared" si="17"/>
        <v>Cash</v>
      </c>
    </row>
    <row r="244" spans="1:11">
      <c r="A244" s="42">
        <v>46146</v>
      </c>
      <c r="B244" s="43" t="s">
        <v>16</v>
      </c>
      <c r="C244" s="43" t="s">
        <v>33</v>
      </c>
      <c r="D244" s="43">
        <v>2</v>
      </c>
      <c r="E244" s="43">
        <v>90</v>
      </c>
      <c r="F244" s="43">
        <f>IF(B244="Egg Shop","",IF(J244="","",IFERROR(LOOKUP(2,1/(Purchases!$H$3:$H$2002=J244),Purchases!$F$3:$F$2002),"")))</f>
        <v>80</v>
      </c>
      <c r="G244" s="43">
        <f t="shared" si="13"/>
        <v>180</v>
      </c>
      <c r="H244" s="43">
        <f t="shared" si="14"/>
        <v>160</v>
      </c>
      <c r="I244" s="43">
        <f t="shared" si="15"/>
        <v>20</v>
      </c>
      <c r="J244" s="43" t="str">
        <f t="shared" si="16"/>
        <v>Abor Feed|Crates</v>
      </c>
      <c r="K244" s="43" t="str">
        <f t="shared" si="17"/>
        <v>Cash</v>
      </c>
    </row>
    <row r="245" spans="1:11">
      <c r="A245" s="43"/>
      <c r="B245" s="43"/>
      <c r="C245" s="43"/>
      <c r="D245" s="43"/>
      <c r="E245" s="43"/>
      <c r="F245" s="43" t="str">
        <f>IF(B245="Egg Shop","",IF(J245="","",IFERROR(LOOKUP(2,1/(Purchases!$H$3:$H$2002=J245),Purchases!$F$3:$F$2002),"")))</f>
        <v/>
      </c>
      <c r="G245" s="43" t="str">
        <f t="shared" si="13"/>
        <v/>
      </c>
      <c r="H245" s="43" t="str">
        <f t="shared" si="14"/>
        <v/>
      </c>
      <c r="I245" s="43" t="str">
        <f t="shared" si="15"/>
        <v/>
      </c>
      <c r="J245" s="43" t="str">
        <f t="shared" si="16"/>
        <v/>
      </c>
      <c r="K245" s="43" t="str">
        <f t="shared" si="17"/>
        <v/>
      </c>
    </row>
    <row r="246" spans="1:11">
      <c r="A246" s="43"/>
      <c r="B246" s="43"/>
      <c r="C246" s="43"/>
      <c r="D246" s="43"/>
      <c r="E246" s="43"/>
      <c r="F246" s="43" t="str">
        <f>IF(B246="Egg Shop","",IF(J246="","",IFERROR(LOOKUP(2,1/(Purchases!$H$3:$H$2002=J246),Purchases!$F$3:$F$2002),"")))</f>
        <v/>
      </c>
      <c r="G246" s="43" t="str">
        <f t="shared" si="13"/>
        <v/>
      </c>
      <c r="H246" s="43" t="str">
        <f t="shared" si="14"/>
        <v/>
      </c>
      <c r="I246" s="43" t="str">
        <f t="shared" si="15"/>
        <v/>
      </c>
      <c r="J246" s="43" t="str">
        <f t="shared" si="16"/>
        <v/>
      </c>
      <c r="K246" s="43" t="str">
        <f t="shared" si="17"/>
        <v/>
      </c>
    </row>
    <row r="247" spans="1:11">
      <c r="A247" s="43"/>
      <c r="B247" s="43"/>
      <c r="C247" s="43"/>
      <c r="D247" s="43"/>
      <c r="E247" s="43"/>
      <c r="F247" s="43" t="str">
        <f>IF(B247="Egg Shop","",IF(J247="","",IFERROR(LOOKUP(2,1/(Purchases!$H$3:$H$2002=J247),Purchases!$F$3:$F$2002),"")))</f>
        <v/>
      </c>
      <c r="G247" s="43" t="str">
        <f t="shared" si="13"/>
        <v/>
      </c>
      <c r="H247" s="43" t="str">
        <f t="shared" si="14"/>
        <v/>
      </c>
      <c r="I247" s="43" t="str">
        <f t="shared" si="15"/>
        <v/>
      </c>
      <c r="J247" s="43" t="str">
        <f t="shared" si="16"/>
        <v/>
      </c>
      <c r="K247" s="43" t="str">
        <f t="shared" si="17"/>
        <v/>
      </c>
    </row>
    <row r="248" spans="1:11">
      <c r="A248" s="43"/>
      <c r="B248" s="43"/>
      <c r="C248" s="43"/>
      <c r="D248" s="43"/>
      <c r="E248" s="43"/>
      <c r="F248" s="43" t="str">
        <f>IF(B248="Egg Shop","",IF(J248="","",IFERROR(LOOKUP(2,1/(Purchases!$H$3:$H$2002=J248),Purchases!$F$3:$F$2002),"")))</f>
        <v/>
      </c>
      <c r="G248" s="43" t="str">
        <f t="shared" si="13"/>
        <v/>
      </c>
      <c r="H248" s="43" t="str">
        <f t="shared" si="14"/>
        <v/>
      </c>
      <c r="I248" s="43" t="str">
        <f t="shared" si="15"/>
        <v/>
      </c>
      <c r="J248" s="43" t="str">
        <f t="shared" si="16"/>
        <v/>
      </c>
      <c r="K248" s="43" t="str">
        <f t="shared" si="17"/>
        <v/>
      </c>
    </row>
    <row r="249" spans="1:1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</row>
    <row r="250" spans="1:1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</row>
    <row r="251" spans="1:1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</row>
    <row r="252" spans="1:1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</row>
    <row r="253" spans="1:11">
      <c r="A253" s="43"/>
      <c r="B253" s="43"/>
      <c r="C253" s="43"/>
      <c r="D253" s="43"/>
      <c r="E253" s="43"/>
      <c r="F253" s="43" t="str">
        <f>IF(B253="Egg Shop","",IF(J253="","",IFERROR(LOOKUP(2,1/(Purchases!$H$3:$H$2002=J253),Purchases!$F$3:$F$2002),"")))</f>
        <v/>
      </c>
      <c r="G253" s="43" t="str">
        <f t="shared" si="13"/>
        <v/>
      </c>
      <c r="H253" s="43" t="str">
        <f t="shared" si="14"/>
        <v/>
      </c>
      <c r="I253" s="43" t="str">
        <f t="shared" si="15"/>
        <v/>
      </c>
      <c r="J253" s="43" t="str">
        <f t="shared" si="16"/>
        <v/>
      </c>
      <c r="K253" s="43" t="str">
        <f t="shared" si="17"/>
        <v/>
      </c>
    </row>
    <row r="254" spans="1:11">
      <c r="A254" s="43"/>
      <c r="B254" s="43"/>
      <c r="C254" s="43"/>
      <c r="D254" s="43"/>
      <c r="E254" s="43"/>
      <c r="F254" s="43" t="str">
        <f>IF(B254="Egg Shop","",IF(J254="","",IFERROR(LOOKUP(2,1/(Purchases!$H$3:$H$2002=J254),Purchases!$F$3:$F$2002),"")))</f>
        <v/>
      </c>
      <c r="G254" s="43" t="str">
        <f t="shared" si="13"/>
        <v/>
      </c>
      <c r="H254" s="43" t="str">
        <f t="shared" si="14"/>
        <v/>
      </c>
      <c r="I254" s="43" t="str">
        <f t="shared" si="15"/>
        <v/>
      </c>
      <c r="J254" s="43" t="str">
        <f t="shared" si="16"/>
        <v/>
      </c>
      <c r="K254" s="43" t="str">
        <f t="shared" si="17"/>
        <v/>
      </c>
    </row>
    <row r="255" spans="1:11">
      <c r="A255" s="43"/>
      <c r="B255" s="43"/>
      <c r="C255" s="43"/>
      <c r="D255" s="43"/>
      <c r="E255" s="43"/>
      <c r="F255" s="43" t="str">
        <f>IF(B255="Egg Shop","",IF(J255="","",IFERROR(LOOKUP(2,1/(Purchases!$H$3:$H$2002=J255),Purchases!$F$3:$F$2002),"")))</f>
        <v/>
      </c>
      <c r="G255" s="43" t="str">
        <f t="shared" si="13"/>
        <v/>
      </c>
      <c r="H255" s="43" t="str">
        <f t="shared" si="14"/>
        <v/>
      </c>
      <c r="I255" s="43" t="str">
        <f t="shared" si="15"/>
        <v/>
      </c>
      <c r="J255" s="43" t="str">
        <f t="shared" si="16"/>
        <v/>
      </c>
      <c r="K255" s="43" t="str">
        <f t="shared" si="17"/>
        <v/>
      </c>
    </row>
    <row r="256" spans="1:11">
      <c r="A256" s="43"/>
      <c r="B256" s="43"/>
      <c r="C256" s="43"/>
      <c r="D256" s="43"/>
      <c r="E256" s="43"/>
      <c r="F256" s="43" t="str">
        <f>IF(B256="Egg Shop","",IF(J256="","",IFERROR(LOOKUP(2,1/(Purchases!$H$3:$H$2002=J256),Purchases!$F$3:$F$2002),"")))</f>
        <v/>
      </c>
      <c r="G256" s="43" t="str">
        <f t="shared" si="13"/>
        <v/>
      </c>
      <c r="H256" s="43" t="str">
        <f t="shared" si="14"/>
        <v/>
      </c>
      <c r="I256" s="43" t="str">
        <f t="shared" si="15"/>
        <v/>
      </c>
      <c r="J256" s="43" t="str">
        <f t="shared" si="16"/>
        <v/>
      </c>
      <c r="K256" s="43" t="str">
        <f t="shared" si="17"/>
        <v/>
      </c>
    </row>
    <row r="257" spans="1:11">
      <c r="A257" s="43"/>
      <c r="B257" s="43"/>
      <c r="C257" s="43"/>
      <c r="D257" s="43"/>
      <c r="E257" s="43"/>
      <c r="F257" s="43" t="str">
        <f>IF(B257="Egg Shop","",IF(J257="","",IFERROR(LOOKUP(2,1/(Purchases!$H$3:$H$2002=J257),Purchases!$F$3:$F$2002),"")))</f>
        <v/>
      </c>
      <c r="G257" s="43" t="str">
        <f t="shared" si="13"/>
        <v/>
      </c>
      <c r="H257" s="43" t="str">
        <f t="shared" si="14"/>
        <v/>
      </c>
      <c r="I257" s="43" t="str">
        <f t="shared" si="15"/>
        <v/>
      </c>
      <c r="J257" s="43" t="str">
        <f t="shared" si="16"/>
        <v/>
      </c>
      <c r="K257" s="43" t="str">
        <f t="shared" si="17"/>
        <v/>
      </c>
    </row>
    <row r="258" spans="1:11">
      <c r="A258" s="43"/>
      <c r="B258" s="43"/>
      <c r="C258" s="43"/>
      <c r="D258" s="43"/>
      <c r="E258" s="43"/>
      <c r="F258" s="43" t="str">
        <f>IF(B258="Egg Shop","",IF(J258="","",IFERROR(LOOKUP(2,1/(Purchases!$H$3:$H$2002=J258),Purchases!$F$3:$F$2002),"")))</f>
        <v/>
      </c>
      <c r="G258" s="43" t="str">
        <f t="shared" si="13"/>
        <v/>
      </c>
      <c r="H258" s="43" t="str">
        <f t="shared" si="14"/>
        <v/>
      </c>
      <c r="I258" s="43" t="str">
        <f t="shared" si="15"/>
        <v/>
      </c>
      <c r="J258" s="43" t="str">
        <f t="shared" si="16"/>
        <v/>
      </c>
      <c r="K258" s="43" t="str">
        <f t="shared" si="17"/>
        <v/>
      </c>
    </row>
    <row r="259" spans="1:11">
      <c r="A259" s="43"/>
      <c r="B259" s="43"/>
      <c r="C259" s="43"/>
      <c r="D259" s="43"/>
      <c r="E259" s="43"/>
      <c r="F259" s="43" t="str">
        <f>IF(B259="Egg Shop","",IF(J259="","",IFERROR(LOOKUP(2,1/(Purchases!$H$3:$H$2002=J259),Purchases!$F$3:$F$2002),"")))</f>
        <v/>
      </c>
      <c r="G259" s="43" t="str">
        <f t="shared" ref="G259:G322" si="18">IF(OR(D259="",E259=""),"",D259*E259)</f>
        <v/>
      </c>
      <c r="H259" s="43" t="str">
        <f t="shared" ref="H259:H322" si="19">IF(OR(D259="",F259=""),"",D259*F259)</f>
        <v/>
      </c>
      <c r="I259" s="43" t="str">
        <f t="shared" ref="I259:I322" si="20">IF(OR(G259="",H259=""),"",G259-H259)</f>
        <v/>
      </c>
      <c r="J259" s="43" t="str">
        <f t="shared" ref="J259:J322" si="21">IF(OR(B259="",C259=""),"",B259&amp;"|"&amp;C259)</f>
        <v/>
      </c>
      <c r="K259" s="43" t="str">
        <f t="shared" si="17"/>
        <v/>
      </c>
    </row>
    <row r="260" spans="1:11">
      <c r="A260" s="43"/>
      <c r="B260" s="43"/>
      <c r="C260" s="43"/>
      <c r="D260" s="43"/>
      <c r="E260" s="43"/>
      <c r="F260" s="43" t="str">
        <f>IF(B260="Egg Shop","",IF(J260="","",IFERROR(LOOKUP(2,1/(Purchases!$H$3:$H$2002=J260),Purchases!$F$3:$F$2002),"")))</f>
        <v/>
      </c>
      <c r="G260" s="43" t="str">
        <f t="shared" si="18"/>
        <v/>
      </c>
      <c r="H260" s="43" t="str">
        <f t="shared" si="19"/>
        <v/>
      </c>
      <c r="I260" s="43" t="str">
        <f t="shared" si="20"/>
        <v/>
      </c>
      <c r="J260" s="43" t="str">
        <f t="shared" si="21"/>
        <v/>
      </c>
      <c r="K260" s="43" t="str">
        <f t="shared" si="17"/>
        <v/>
      </c>
    </row>
    <row r="261" spans="1:11">
      <c r="A261" s="43"/>
      <c r="B261" s="43"/>
      <c r="C261" s="43"/>
      <c r="D261" s="43"/>
      <c r="E261" s="43"/>
      <c r="F261" s="43" t="str">
        <f>IF(B261="Egg Shop","",IF(J261="","",IFERROR(LOOKUP(2,1/(Purchases!$H$3:$H$2002=J261),Purchases!$F$3:$F$2002),"")))</f>
        <v/>
      </c>
      <c r="G261" s="43" t="str">
        <f t="shared" si="18"/>
        <v/>
      </c>
      <c r="H261" s="43" t="str">
        <f t="shared" si="19"/>
        <v/>
      </c>
      <c r="I261" s="43" t="str">
        <f t="shared" si="20"/>
        <v/>
      </c>
      <c r="J261" s="43" t="str">
        <f t="shared" si="21"/>
        <v/>
      </c>
      <c r="K261" s="43" t="str">
        <f t="shared" si="17"/>
        <v/>
      </c>
    </row>
    <row r="262" spans="1:11">
      <c r="A262" s="43"/>
      <c r="B262" s="43"/>
      <c r="C262" s="43"/>
      <c r="D262" s="43"/>
      <c r="E262" s="43"/>
      <c r="F262" s="43" t="str">
        <f>IF(B262="Egg Shop","",IF(J262="","",IFERROR(LOOKUP(2,1/(Purchases!$H$3:$H$2002=J262),Purchases!$F$3:$F$2002),"")))</f>
        <v/>
      </c>
      <c r="G262" s="43" t="str">
        <f t="shared" si="18"/>
        <v/>
      </c>
      <c r="H262" s="43" t="str">
        <f t="shared" si="19"/>
        <v/>
      </c>
      <c r="I262" s="43" t="str">
        <f t="shared" si="20"/>
        <v/>
      </c>
      <c r="J262" s="43" t="str">
        <f t="shared" si="21"/>
        <v/>
      </c>
      <c r="K262" s="43" t="str">
        <f t="shared" si="17"/>
        <v/>
      </c>
    </row>
    <row r="263" spans="1:11">
      <c r="A263" s="43"/>
      <c r="B263" s="43"/>
      <c r="C263" s="43"/>
      <c r="D263" s="43"/>
      <c r="E263" s="43"/>
      <c r="F263" s="43" t="str">
        <f>IF(B263="Egg Shop","",IF(J263="","",IFERROR(LOOKUP(2,1/(Purchases!$H$3:$H$2002=J263),Purchases!$F$3:$F$2002),"")))</f>
        <v/>
      </c>
      <c r="G263" s="43" t="str">
        <f t="shared" si="18"/>
        <v/>
      </c>
      <c r="H263" s="43" t="str">
        <f t="shared" si="19"/>
        <v/>
      </c>
      <c r="I263" s="43" t="str">
        <f t="shared" si="20"/>
        <v/>
      </c>
      <c r="J263" s="43" t="str">
        <f t="shared" si="21"/>
        <v/>
      </c>
      <c r="K263" s="43" t="str">
        <f t="shared" si="17"/>
        <v/>
      </c>
    </row>
    <row r="264" spans="1:11">
      <c r="A264" s="43"/>
      <c r="B264" s="43"/>
      <c r="C264" s="43"/>
      <c r="D264" s="43"/>
      <c r="E264" s="43"/>
      <c r="F264" s="43" t="str">
        <f>IF(B264="Egg Shop","",IF(J264="","",IFERROR(LOOKUP(2,1/(Purchases!$H$3:$H$2002=J264),Purchases!$F$3:$F$2002),"")))</f>
        <v/>
      </c>
      <c r="G264" s="43" t="str">
        <f t="shared" si="18"/>
        <v/>
      </c>
      <c r="H264" s="43" t="str">
        <f t="shared" si="19"/>
        <v/>
      </c>
      <c r="I264" s="43" t="str">
        <f t="shared" si="20"/>
        <v/>
      </c>
      <c r="J264" s="43" t="str">
        <f t="shared" si="21"/>
        <v/>
      </c>
      <c r="K264" s="43" t="str">
        <f t="shared" si="17"/>
        <v/>
      </c>
    </row>
    <row r="265" spans="1:11">
      <c r="A265" s="43"/>
      <c r="B265" s="43"/>
      <c r="C265" s="43"/>
      <c r="D265" s="43"/>
      <c r="E265" s="43"/>
      <c r="F265" s="43" t="str">
        <f>IF(B265="Egg Shop","",IF(J265="","",IFERROR(LOOKUP(2,1/(Purchases!$H$3:$H$2002=J265),Purchases!$F$3:$F$2002),"")))</f>
        <v/>
      </c>
      <c r="G265" s="43" t="str">
        <f t="shared" si="18"/>
        <v/>
      </c>
      <c r="H265" s="43" t="str">
        <f t="shared" si="19"/>
        <v/>
      </c>
      <c r="I265" s="43" t="str">
        <f t="shared" si="20"/>
        <v/>
      </c>
      <c r="J265" s="43" t="str">
        <f t="shared" si="21"/>
        <v/>
      </c>
      <c r="K265" s="43" t="str">
        <f t="shared" si="17"/>
        <v/>
      </c>
    </row>
    <row r="266" spans="1:11">
      <c r="A266" s="43"/>
      <c r="B266" s="43"/>
      <c r="C266" s="43"/>
      <c r="D266" s="43"/>
      <c r="E266" s="43"/>
      <c r="F266" s="43" t="str">
        <f>IF(B266="Egg Shop","",IF(J266="","",IFERROR(LOOKUP(2,1/(Purchases!$H$3:$H$2002=J266),Purchases!$F$3:$F$2002),"")))</f>
        <v/>
      </c>
      <c r="G266" s="43" t="str">
        <f t="shared" si="18"/>
        <v/>
      </c>
      <c r="H266" s="43" t="str">
        <f t="shared" si="19"/>
        <v/>
      </c>
      <c r="I266" s="43" t="str">
        <f t="shared" si="20"/>
        <v/>
      </c>
      <c r="J266" s="43" t="str">
        <f t="shared" si="21"/>
        <v/>
      </c>
      <c r="K266" s="43" t="str">
        <f t="shared" si="17"/>
        <v/>
      </c>
    </row>
    <row r="267" spans="1:11">
      <c r="A267" s="43"/>
      <c r="B267" s="43"/>
      <c r="C267" s="43"/>
      <c r="D267" s="43"/>
      <c r="E267" s="43"/>
      <c r="F267" s="43" t="str">
        <f>IF(B267="Egg Shop","",IF(J267="","",IFERROR(LOOKUP(2,1/(Purchases!$H$3:$H$2002=J267),Purchases!$F$3:$F$2002),"")))</f>
        <v/>
      </c>
      <c r="G267" s="43" t="str">
        <f t="shared" si="18"/>
        <v/>
      </c>
      <c r="H267" s="43" t="str">
        <f t="shared" si="19"/>
        <v/>
      </c>
      <c r="I267" s="43" t="str">
        <f t="shared" si="20"/>
        <v/>
      </c>
      <c r="J267" s="43" t="str">
        <f t="shared" si="21"/>
        <v/>
      </c>
      <c r="K267" s="43" t="str">
        <f t="shared" si="17"/>
        <v/>
      </c>
    </row>
    <row r="268" spans="1:11">
      <c r="A268" s="43"/>
      <c r="B268" s="43"/>
      <c r="C268" s="43"/>
      <c r="D268" s="43"/>
      <c r="E268" s="43"/>
      <c r="F268" s="43" t="str">
        <f>IF(B268="Egg Shop","",IF(J268="","",IFERROR(LOOKUP(2,1/(Purchases!$H$3:$H$2002=J268),Purchases!$F$3:$F$2002),"")))</f>
        <v/>
      </c>
      <c r="G268" s="43" t="str">
        <f t="shared" si="18"/>
        <v/>
      </c>
      <c r="H268" s="43" t="str">
        <f t="shared" si="19"/>
        <v/>
      </c>
      <c r="I268" s="43" t="str">
        <f t="shared" si="20"/>
        <v/>
      </c>
      <c r="J268" s="43" t="str">
        <f t="shared" si="21"/>
        <v/>
      </c>
      <c r="K268" s="43" t="str">
        <f t="shared" si="17"/>
        <v/>
      </c>
    </row>
    <row r="269" spans="1:11">
      <c r="A269" s="43"/>
      <c r="B269" s="43"/>
      <c r="C269" s="43"/>
      <c r="D269" s="43"/>
      <c r="E269" s="43"/>
      <c r="F269" s="43" t="str">
        <f>IF(B269="Egg Shop","",IF(J269="","",IFERROR(LOOKUP(2,1/(Purchases!$H$3:$H$2002=J269),Purchases!$F$3:$F$2002),"")))</f>
        <v/>
      </c>
      <c r="G269" s="43" t="str">
        <f t="shared" si="18"/>
        <v/>
      </c>
      <c r="H269" s="43" t="str">
        <f t="shared" si="19"/>
        <v/>
      </c>
      <c r="I269" s="43" t="str">
        <f t="shared" si="20"/>
        <v/>
      </c>
      <c r="J269" s="43" t="str">
        <f t="shared" si="21"/>
        <v/>
      </c>
      <c r="K269" s="43" t="str">
        <f t="shared" si="17"/>
        <v/>
      </c>
    </row>
    <row r="270" spans="1:11">
      <c r="A270" s="43"/>
      <c r="B270" s="43"/>
      <c r="C270" s="43"/>
      <c r="D270" s="43"/>
      <c r="E270" s="43"/>
      <c r="F270" s="43" t="str">
        <f>IF(B270="Egg Shop","",IF(J270="","",IFERROR(LOOKUP(2,1/(Purchases!$H$3:$H$2002=J270),Purchases!$F$3:$F$2002),"")))</f>
        <v/>
      </c>
      <c r="G270" s="43" t="str">
        <f t="shared" si="18"/>
        <v/>
      </c>
      <c r="H270" s="43" t="str">
        <f t="shared" si="19"/>
        <v/>
      </c>
      <c r="I270" s="43" t="str">
        <f t="shared" si="20"/>
        <v/>
      </c>
      <c r="J270" s="43" t="str">
        <f t="shared" si="21"/>
        <v/>
      </c>
      <c r="K270" s="43" t="str">
        <f t="shared" si="17"/>
        <v/>
      </c>
    </row>
    <row r="271" spans="1:11">
      <c r="A271" s="43"/>
      <c r="B271" s="43"/>
      <c r="C271" s="43"/>
      <c r="D271" s="43"/>
      <c r="E271" s="43"/>
      <c r="F271" s="43" t="str">
        <f>IF(B271="Egg Shop","",IF(J271="","",IFERROR(LOOKUP(2,1/(Purchases!$H$3:$H$2002=J271),Purchases!$F$3:$F$2002),"")))</f>
        <v/>
      </c>
      <c r="G271" s="43" t="str">
        <f t="shared" si="18"/>
        <v/>
      </c>
      <c r="H271" s="43" t="str">
        <f t="shared" si="19"/>
        <v/>
      </c>
      <c r="I271" s="43" t="str">
        <f t="shared" si="20"/>
        <v/>
      </c>
      <c r="J271" s="43" t="str">
        <f t="shared" si="21"/>
        <v/>
      </c>
      <c r="K271" s="43" t="str">
        <f t="shared" si="17"/>
        <v/>
      </c>
    </row>
    <row r="272" spans="1:11">
      <c r="A272" s="43"/>
      <c r="B272" s="43"/>
      <c r="C272" s="43"/>
      <c r="D272" s="43"/>
      <c r="E272" s="43"/>
      <c r="F272" s="43" t="str">
        <f>IF(B272="Egg Shop","",IF(J272="","",IFERROR(LOOKUP(2,1/(Purchases!$H$3:$H$2002=J272),Purchases!$F$3:$F$2002),"")))</f>
        <v/>
      </c>
      <c r="G272" s="43" t="str">
        <f t="shared" si="18"/>
        <v/>
      </c>
      <c r="H272" s="43" t="str">
        <f t="shared" si="19"/>
        <v/>
      </c>
      <c r="I272" s="43" t="str">
        <f t="shared" si="20"/>
        <v/>
      </c>
      <c r="J272" s="43" t="str">
        <f t="shared" si="21"/>
        <v/>
      </c>
      <c r="K272" s="43" t="str">
        <f t="shared" si="17"/>
        <v/>
      </c>
    </row>
    <row r="273" spans="1:11">
      <c r="A273" s="43"/>
      <c r="B273" s="43"/>
      <c r="C273" s="43"/>
      <c r="D273" s="43"/>
      <c r="E273" s="43"/>
      <c r="F273" s="43" t="str">
        <f>IF(B273="Egg Shop","",IF(J273="","",IFERROR(LOOKUP(2,1/(Purchases!$H$3:$H$2002=J273),Purchases!$F$3:$F$2002),"")))</f>
        <v/>
      </c>
      <c r="G273" s="43" t="str">
        <f t="shared" si="18"/>
        <v/>
      </c>
      <c r="H273" s="43" t="str">
        <f t="shared" si="19"/>
        <v/>
      </c>
      <c r="I273" s="43" t="str">
        <f t="shared" si="20"/>
        <v/>
      </c>
      <c r="J273" s="43" t="str">
        <f t="shared" si="21"/>
        <v/>
      </c>
      <c r="K273" s="43" t="str">
        <f t="shared" si="17"/>
        <v/>
      </c>
    </row>
    <row r="274" spans="1:11">
      <c r="A274" s="43"/>
      <c r="B274" s="43"/>
      <c r="C274" s="43"/>
      <c r="D274" s="43"/>
      <c r="E274" s="43"/>
      <c r="F274" s="43" t="str">
        <f>IF(B274="Egg Shop","",IF(J274="","",IFERROR(LOOKUP(2,1/(Purchases!$H$3:$H$2002=J274),Purchases!$F$3:$F$2002),"")))</f>
        <v/>
      </c>
      <c r="G274" s="43" t="str">
        <f t="shared" si="18"/>
        <v/>
      </c>
      <c r="H274" s="43" t="str">
        <f t="shared" si="19"/>
        <v/>
      </c>
      <c r="I274" s="43" t="str">
        <f t="shared" si="20"/>
        <v/>
      </c>
      <c r="J274" s="43" t="str">
        <f t="shared" si="21"/>
        <v/>
      </c>
      <c r="K274" s="43" t="str">
        <f t="shared" ref="K274:K337" si="22">IF(A274&lt;&gt;"","Cash","")</f>
        <v/>
      </c>
    </row>
    <row r="275" spans="1:11">
      <c r="A275" s="43"/>
      <c r="B275" s="43"/>
      <c r="C275" s="43"/>
      <c r="D275" s="43"/>
      <c r="E275" s="43"/>
      <c r="F275" s="43" t="str">
        <f>IF(B275="Egg Shop","",IF(J275="","",IFERROR(LOOKUP(2,1/(Purchases!$H$3:$H$2002=J275),Purchases!$F$3:$F$2002),"")))</f>
        <v/>
      </c>
      <c r="G275" s="43" t="str">
        <f t="shared" si="18"/>
        <v/>
      </c>
      <c r="H275" s="43" t="str">
        <f t="shared" si="19"/>
        <v/>
      </c>
      <c r="I275" s="43" t="str">
        <f t="shared" si="20"/>
        <v/>
      </c>
      <c r="J275" s="43" t="str">
        <f t="shared" si="21"/>
        <v/>
      </c>
      <c r="K275" s="43" t="str">
        <f t="shared" si="22"/>
        <v/>
      </c>
    </row>
    <row r="276" spans="1:11">
      <c r="A276" s="43"/>
      <c r="B276" s="43"/>
      <c r="C276" s="43"/>
      <c r="D276" s="43"/>
      <c r="E276" s="43"/>
      <c r="F276" s="43" t="str">
        <f>IF(B276="Egg Shop","",IF(J276="","",IFERROR(LOOKUP(2,1/(Purchases!$H$3:$H$2002=J276),Purchases!$F$3:$F$2002),"")))</f>
        <v/>
      </c>
      <c r="G276" s="43" t="str">
        <f t="shared" si="18"/>
        <v/>
      </c>
      <c r="H276" s="43" t="str">
        <f t="shared" si="19"/>
        <v/>
      </c>
      <c r="I276" s="43" t="str">
        <f t="shared" si="20"/>
        <v/>
      </c>
      <c r="J276" s="43" t="str">
        <f t="shared" si="21"/>
        <v/>
      </c>
      <c r="K276" s="43" t="str">
        <f t="shared" si="22"/>
        <v/>
      </c>
    </row>
    <row r="277" spans="1:11">
      <c r="A277" s="43"/>
      <c r="B277" s="43"/>
      <c r="C277" s="43"/>
      <c r="D277" s="43"/>
      <c r="E277" s="43"/>
      <c r="F277" s="43" t="str">
        <f>IF(B277="Egg Shop","",IF(J277="","",IFERROR(LOOKUP(2,1/(Purchases!$H$3:$H$2002=J277),Purchases!$F$3:$F$2002),"")))</f>
        <v/>
      </c>
      <c r="G277" s="43" t="str">
        <f t="shared" si="18"/>
        <v/>
      </c>
      <c r="H277" s="43" t="str">
        <f t="shared" si="19"/>
        <v/>
      </c>
      <c r="I277" s="43" t="str">
        <f t="shared" si="20"/>
        <v/>
      </c>
      <c r="J277" s="43" t="str">
        <f t="shared" si="21"/>
        <v/>
      </c>
      <c r="K277" s="43" t="str">
        <f t="shared" si="22"/>
        <v/>
      </c>
    </row>
    <row r="278" spans="1:11">
      <c r="A278" s="43"/>
      <c r="B278" s="43"/>
      <c r="C278" s="43"/>
      <c r="D278" s="43"/>
      <c r="E278" s="43"/>
      <c r="F278" s="43" t="str">
        <f>IF(B278="Egg Shop","",IF(J278="","",IFERROR(LOOKUP(2,1/(Purchases!$H$3:$H$2002=J278),Purchases!$F$3:$F$2002),"")))</f>
        <v/>
      </c>
      <c r="G278" s="43" t="str">
        <f t="shared" si="18"/>
        <v/>
      </c>
      <c r="H278" s="43" t="str">
        <f t="shared" si="19"/>
        <v/>
      </c>
      <c r="I278" s="43" t="str">
        <f t="shared" si="20"/>
        <v/>
      </c>
      <c r="J278" s="43" t="str">
        <f t="shared" si="21"/>
        <v/>
      </c>
      <c r="K278" s="43" t="str">
        <f t="shared" si="22"/>
        <v/>
      </c>
    </row>
    <row r="279" spans="1:11">
      <c r="A279" s="43"/>
      <c r="B279" s="43"/>
      <c r="C279" s="43"/>
      <c r="D279" s="43"/>
      <c r="E279" s="43"/>
      <c r="F279" s="43" t="str">
        <f>IF(B279="Egg Shop","",IF(J279="","",IFERROR(LOOKUP(2,1/(Purchases!$H$3:$H$2002=J279),Purchases!$F$3:$F$2002),"")))</f>
        <v/>
      </c>
      <c r="G279" s="43" t="str">
        <f t="shared" si="18"/>
        <v/>
      </c>
      <c r="H279" s="43" t="str">
        <f t="shared" si="19"/>
        <v/>
      </c>
      <c r="I279" s="43" t="str">
        <f t="shared" si="20"/>
        <v/>
      </c>
      <c r="J279" s="43" t="str">
        <f t="shared" si="21"/>
        <v/>
      </c>
      <c r="K279" s="43" t="str">
        <f t="shared" si="22"/>
        <v/>
      </c>
    </row>
    <row r="280" spans="1:11">
      <c r="A280" s="43"/>
      <c r="B280" s="43"/>
      <c r="C280" s="43"/>
      <c r="D280" s="43"/>
      <c r="E280" s="43"/>
      <c r="F280" s="43" t="str">
        <f>IF(B280="Egg Shop","",IF(J280="","",IFERROR(LOOKUP(2,1/(Purchases!$H$3:$H$2002=J280),Purchases!$F$3:$F$2002),"")))</f>
        <v/>
      </c>
      <c r="G280" s="43" t="str">
        <f t="shared" si="18"/>
        <v/>
      </c>
      <c r="H280" s="43" t="str">
        <f t="shared" si="19"/>
        <v/>
      </c>
      <c r="I280" s="43" t="str">
        <f t="shared" si="20"/>
        <v/>
      </c>
      <c r="J280" s="43" t="str">
        <f t="shared" si="21"/>
        <v/>
      </c>
      <c r="K280" s="43" t="str">
        <f t="shared" si="22"/>
        <v/>
      </c>
    </row>
    <row r="281" spans="1:11">
      <c r="A281" s="43"/>
      <c r="B281" s="43"/>
      <c r="C281" s="43"/>
      <c r="D281" s="43"/>
      <c r="E281" s="43"/>
      <c r="F281" s="43" t="str">
        <f>IF(B281="Egg Shop","",IF(J281="","",IFERROR(LOOKUP(2,1/(Purchases!$H$3:$H$2002=J281),Purchases!$F$3:$F$2002),"")))</f>
        <v/>
      </c>
      <c r="G281" s="43" t="str">
        <f t="shared" si="18"/>
        <v/>
      </c>
      <c r="H281" s="43" t="str">
        <f t="shared" si="19"/>
        <v/>
      </c>
      <c r="I281" s="43" t="str">
        <f t="shared" si="20"/>
        <v/>
      </c>
      <c r="J281" s="43" t="str">
        <f t="shared" si="21"/>
        <v/>
      </c>
      <c r="K281" s="43" t="str">
        <f t="shared" si="22"/>
        <v/>
      </c>
    </row>
    <row r="282" spans="1:11">
      <c r="A282" s="43"/>
      <c r="B282" s="43"/>
      <c r="C282" s="43"/>
      <c r="D282" s="43"/>
      <c r="E282" s="43"/>
      <c r="F282" s="43" t="str">
        <f>IF(B282="Egg Shop","",IF(J282="","",IFERROR(LOOKUP(2,1/(Purchases!$H$3:$H$2002=J282),Purchases!$F$3:$F$2002),"")))</f>
        <v/>
      </c>
      <c r="G282" s="43" t="str">
        <f t="shared" si="18"/>
        <v/>
      </c>
      <c r="H282" s="43" t="str">
        <f t="shared" si="19"/>
        <v/>
      </c>
      <c r="I282" s="43" t="str">
        <f t="shared" si="20"/>
        <v/>
      </c>
      <c r="J282" s="43" t="str">
        <f t="shared" si="21"/>
        <v/>
      </c>
      <c r="K282" s="43" t="str">
        <f t="shared" si="22"/>
        <v/>
      </c>
    </row>
    <row r="283" spans="1:11">
      <c r="A283" s="43"/>
      <c r="B283" s="43"/>
      <c r="C283" s="43"/>
      <c r="D283" s="43"/>
      <c r="E283" s="43"/>
      <c r="F283" s="43" t="str">
        <f>IF(B283="Egg Shop","",IF(J283="","",IFERROR(LOOKUP(2,1/(Purchases!$H$3:$H$2002=J283),Purchases!$F$3:$F$2002),"")))</f>
        <v/>
      </c>
      <c r="G283" s="43" t="str">
        <f t="shared" si="18"/>
        <v/>
      </c>
      <c r="H283" s="43" t="str">
        <f t="shared" si="19"/>
        <v/>
      </c>
      <c r="I283" s="43" t="str">
        <f t="shared" si="20"/>
        <v/>
      </c>
      <c r="J283" s="43" t="str">
        <f t="shared" si="21"/>
        <v/>
      </c>
      <c r="K283" s="43" t="str">
        <f t="shared" si="22"/>
        <v/>
      </c>
    </row>
    <row r="284" spans="1:11">
      <c r="A284" s="43"/>
      <c r="B284" s="43"/>
      <c r="C284" s="43"/>
      <c r="D284" s="43"/>
      <c r="E284" s="43"/>
      <c r="F284" s="43" t="str">
        <f>IF(B284="Egg Shop","",IF(J284="","",IFERROR(LOOKUP(2,1/(Purchases!$H$3:$H$2002=J284),Purchases!$F$3:$F$2002),"")))</f>
        <v/>
      </c>
      <c r="G284" s="43" t="str">
        <f t="shared" si="18"/>
        <v/>
      </c>
      <c r="H284" s="43" t="str">
        <f t="shared" si="19"/>
        <v/>
      </c>
      <c r="I284" s="43" t="str">
        <f t="shared" si="20"/>
        <v/>
      </c>
      <c r="J284" s="43" t="str">
        <f t="shared" si="21"/>
        <v/>
      </c>
      <c r="K284" s="43" t="str">
        <f t="shared" si="22"/>
        <v/>
      </c>
    </row>
    <row r="285" spans="1:11">
      <c r="A285" s="43"/>
      <c r="B285" s="43"/>
      <c r="C285" s="43"/>
      <c r="D285" s="43"/>
      <c r="E285" s="43"/>
      <c r="F285" s="43" t="str">
        <f>IF(B285="Egg Shop","",IF(J285="","",IFERROR(LOOKUP(2,1/(Purchases!$H$3:$H$2002=J285),Purchases!$F$3:$F$2002),"")))</f>
        <v/>
      </c>
      <c r="G285" s="43" t="str">
        <f t="shared" si="18"/>
        <v/>
      </c>
      <c r="H285" s="43" t="str">
        <f t="shared" si="19"/>
        <v/>
      </c>
      <c r="I285" s="43" t="str">
        <f t="shared" si="20"/>
        <v/>
      </c>
      <c r="J285" s="43" t="str">
        <f t="shared" si="21"/>
        <v/>
      </c>
      <c r="K285" s="43" t="str">
        <f t="shared" si="22"/>
        <v/>
      </c>
    </row>
    <row r="286" spans="1:11">
      <c r="A286" s="43"/>
      <c r="B286" s="43"/>
      <c r="C286" s="43"/>
      <c r="D286" s="43"/>
      <c r="E286" s="43"/>
      <c r="F286" s="43" t="str">
        <f>IF(B286="Egg Shop","",IF(J286="","",IFERROR(LOOKUP(2,1/(Purchases!$H$3:$H$2002=J286),Purchases!$F$3:$F$2002),"")))</f>
        <v/>
      </c>
      <c r="G286" s="43" t="str">
        <f t="shared" si="18"/>
        <v/>
      </c>
      <c r="H286" s="43" t="str">
        <f t="shared" si="19"/>
        <v/>
      </c>
      <c r="I286" s="43" t="str">
        <f t="shared" si="20"/>
        <v/>
      </c>
      <c r="J286" s="43" t="str">
        <f t="shared" si="21"/>
        <v/>
      </c>
      <c r="K286" s="43" t="str">
        <f t="shared" si="22"/>
        <v/>
      </c>
    </row>
    <row r="287" spans="1:11">
      <c r="A287" s="43"/>
      <c r="B287" s="43"/>
      <c r="C287" s="43"/>
      <c r="D287" s="43"/>
      <c r="E287" s="43"/>
      <c r="F287" s="43" t="str">
        <f>IF(B287="Egg Shop","",IF(J287="","",IFERROR(LOOKUP(2,1/(Purchases!$H$3:$H$2002=J287),Purchases!$F$3:$F$2002),"")))</f>
        <v/>
      </c>
      <c r="G287" s="43" t="str">
        <f t="shared" si="18"/>
        <v/>
      </c>
      <c r="H287" s="43" t="str">
        <f t="shared" si="19"/>
        <v/>
      </c>
      <c r="I287" s="43" t="str">
        <f t="shared" si="20"/>
        <v/>
      </c>
      <c r="J287" s="43" t="str">
        <f t="shared" si="21"/>
        <v/>
      </c>
      <c r="K287" s="43" t="str">
        <f t="shared" si="22"/>
        <v/>
      </c>
    </row>
    <row r="288" spans="1:11">
      <c r="A288" s="43"/>
      <c r="B288" s="43"/>
      <c r="C288" s="43"/>
      <c r="D288" s="43"/>
      <c r="E288" s="43"/>
      <c r="F288" s="43" t="str">
        <f>IF(B288="Egg Shop","",IF(J288="","",IFERROR(LOOKUP(2,1/(Purchases!$H$3:$H$2002=J288),Purchases!$F$3:$F$2002),"")))</f>
        <v/>
      </c>
      <c r="G288" s="43" t="str">
        <f t="shared" si="18"/>
        <v/>
      </c>
      <c r="H288" s="43" t="str">
        <f t="shared" si="19"/>
        <v/>
      </c>
      <c r="I288" s="43" t="str">
        <f t="shared" si="20"/>
        <v/>
      </c>
      <c r="J288" s="43" t="str">
        <f t="shared" si="21"/>
        <v/>
      </c>
      <c r="K288" s="43" t="str">
        <f t="shared" si="22"/>
        <v/>
      </c>
    </row>
    <row r="289" spans="1:11">
      <c r="A289" s="43"/>
      <c r="B289" s="43"/>
      <c r="C289" s="43"/>
      <c r="D289" s="43"/>
      <c r="E289" s="43"/>
      <c r="F289" s="43" t="str">
        <f>IF(B289="Egg Shop","",IF(J289="","",IFERROR(LOOKUP(2,1/(Purchases!$H$3:$H$2002=J289),Purchases!$F$3:$F$2002),"")))</f>
        <v/>
      </c>
      <c r="G289" s="43" t="str">
        <f t="shared" si="18"/>
        <v/>
      </c>
      <c r="H289" s="43" t="str">
        <f t="shared" si="19"/>
        <v/>
      </c>
      <c r="I289" s="43" t="str">
        <f t="shared" si="20"/>
        <v/>
      </c>
      <c r="J289" s="43" t="str">
        <f t="shared" si="21"/>
        <v/>
      </c>
      <c r="K289" s="43" t="str">
        <f t="shared" si="22"/>
        <v/>
      </c>
    </row>
    <row r="290" spans="1:11">
      <c r="A290" s="43"/>
      <c r="B290" s="43"/>
      <c r="C290" s="43"/>
      <c r="D290" s="43"/>
      <c r="E290" s="43"/>
      <c r="F290" s="43" t="str">
        <f>IF(B290="Egg Shop","",IF(J290="","",IFERROR(LOOKUP(2,1/(Purchases!$H$3:$H$2002=J290),Purchases!$F$3:$F$2002),"")))</f>
        <v/>
      </c>
      <c r="G290" s="43" t="str">
        <f t="shared" si="18"/>
        <v/>
      </c>
      <c r="H290" s="43" t="str">
        <f t="shared" si="19"/>
        <v/>
      </c>
      <c r="I290" s="43" t="str">
        <f t="shared" si="20"/>
        <v/>
      </c>
      <c r="J290" s="43" t="str">
        <f t="shared" si="21"/>
        <v/>
      </c>
      <c r="K290" s="43" t="str">
        <f t="shared" si="22"/>
        <v/>
      </c>
    </row>
    <row r="291" spans="1:11">
      <c r="A291" s="43"/>
      <c r="B291" s="43"/>
      <c r="C291" s="43"/>
      <c r="D291" s="43"/>
      <c r="E291" s="43"/>
      <c r="F291" s="43" t="str">
        <f>IF(B291="Egg Shop","",IF(J291="","",IFERROR(LOOKUP(2,1/(Purchases!$H$3:$H$2002=J291),Purchases!$F$3:$F$2002),"")))</f>
        <v/>
      </c>
      <c r="G291" s="43" t="str">
        <f t="shared" si="18"/>
        <v/>
      </c>
      <c r="H291" s="43" t="str">
        <f t="shared" si="19"/>
        <v/>
      </c>
      <c r="I291" s="43" t="str">
        <f t="shared" si="20"/>
        <v/>
      </c>
      <c r="J291" s="43" t="str">
        <f t="shared" si="21"/>
        <v/>
      </c>
      <c r="K291" s="43" t="str">
        <f t="shared" si="22"/>
        <v/>
      </c>
    </row>
    <row r="292" spans="1:11">
      <c r="A292" s="43"/>
      <c r="B292" s="43"/>
      <c r="C292" s="43"/>
      <c r="D292" s="43"/>
      <c r="E292" s="43"/>
      <c r="F292" s="43" t="str">
        <f>IF(B292="Egg Shop","",IF(J292="","",IFERROR(LOOKUP(2,1/(Purchases!$H$3:$H$2002=J292),Purchases!$F$3:$F$2002),"")))</f>
        <v/>
      </c>
      <c r="G292" s="43" t="str">
        <f t="shared" si="18"/>
        <v/>
      </c>
      <c r="H292" s="43" t="str">
        <f t="shared" si="19"/>
        <v/>
      </c>
      <c r="I292" s="43" t="str">
        <f t="shared" si="20"/>
        <v/>
      </c>
      <c r="J292" s="43" t="str">
        <f t="shared" si="21"/>
        <v/>
      </c>
      <c r="K292" s="43" t="str">
        <f t="shared" si="22"/>
        <v/>
      </c>
    </row>
    <row r="293" spans="1:11">
      <c r="A293" s="43"/>
      <c r="B293" s="43"/>
      <c r="C293" s="43"/>
      <c r="D293" s="43"/>
      <c r="E293" s="43"/>
      <c r="F293" s="43" t="str">
        <f>IF(B293="Egg Shop","",IF(J293="","",IFERROR(LOOKUP(2,1/(Purchases!$H$3:$H$2002=J293),Purchases!$F$3:$F$2002),"")))</f>
        <v/>
      </c>
      <c r="G293" s="43" t="str">
        <f t="shared" si="18"/>
        <v/>
      </c>
      <c r="H293" s="43" t="str">
        <f t="shared" si="19"/>
        <v/>
      </c>
      <c r="I293" s="43" t="str">
        <f t="shared" si="20"/>
        <v/>
      </c>
      <c r="J293" s="43" t="str">
        <f t="shared" si="21"/>
        <v/>
      </c>
      <c r="K293" s="43" t="str">
        <f t="shared" si="22"/>
        <v/>
      </c>
    </row>
    <row r="294" spans="1:11">
      <c r="A294" s="43"/>
      <c r="B294" s="43"/>
      <c r="C294" s="43"/>
      <c r="D294" s="43"/>
      <c r="E294" s="43"/>
      <c r="F294" s="43" t="str">
        <f>IF(B294="Egg Shop","",IF(J294="","",IFERROR(LOOKUP(2,1/(Purchases!$H$3:$H$2002=J294),Purchases!$F$3:$F$2002),"")))</f>
        <v/>
      </c>
      <c r="G294" s="43" t="str">
        <f t="shared" si="18"/>
        <v/>
      </c>
      <c r="H294" s="43" t="str">
        <f t="shared" si="19"/>
        <v/>
      </c>
      <c r="I294" s="43" t="str">
        <f t="shared" si="20"/>
        <v/>
      </c>
      <c r="J294" s="43" t="str">
        <f t="shared" si="21"/>
        <v/>
      </c>
      <c r="K294" s="43" t="str">
        <f t="shared" si="22"/>
        <v/>
      </c>
    </row>
    <row r="295" spans="1:11">
      <c r="A295" s="43"/>
      <c r="B295" s="43"/>
      <c r="C295" s="43"/>
      <c r="D295" s="43"/>
      <c r="E295" s="43"/>
      <c r="F295" s="43" t="str">
        <f>IF(B295="Egg Shop","",IF(J295="","",IFERROR(LOOKUP(2,1/(Purchases!$H$3:$H$2002=J295),Purchases!$F$3:$F$2002),"")))</f>
        <v/>
      </c>
      <c r="G295" s="43" t="str">
        <f t="shared" si="18"/>
        <v/>
      </c>
      <c r="H295" s="43" t="str">
        <f t="shared" si="19"/>
        <v/>
      </c>
      <c r="I295" s="43" t="str">
        <f t="shared" si="20"/>
        <v/>
      </c>
      <c r="J295" s="43" t="str">
        <f t="shared" si="21"/>
        <v/>
      </c>
      <c r="K295" s="43" t="str">
        <f t="shared" si="22"/>
        <v/>
      </c>
    </row>
    <row r="296" spans="1:11">
      <c r="A296" s="43"/>
      <c r="B296" s="43"/>
      <c r="C296" s="43"/>
      <c r="D296" s="43"/>
      <c r="E296" s="43"/>
      <c r="F296" s="43" t="str">
        <f>IF(B296="Egg Shop","",IF(J296="","",IFERROR(LOOKUP(2,1/(Purchases!$H$3:$H$2002=J296),Purchases!$F$3:$F$2002),"")))</f>
        <v/>
      </c>
      <c r="G296" s="43" t="str">
        <f t="shared" si="18"/>
        <v/>
      </c>
      <c r="H296" s="43" t="str">
        <f t="shared" si="19"/>
        <v/>
      </c>
      <c r="I296" s="43" t="str">
        <f t="shared" si="20"/>
        <v/>
      </c>
      <c r="J296" s="43" t="str">
        <f t="shared" si="21"/>
        <v/>
      </c>
      <c r="K296" s="43" t="str">
        <f t="shared" si="22"/>
        <v/>
      </c>
    </row>
    <row r="297" spans="1:11">
      <c r="A297" s="43"/>
      <c r="B297" s="43"/>
      <c r="C297" s="43"/>
      <c r="D297" s="43"/>
      <c r="E297" s="43"/>
      <c r="F297" s="43" t="str">
        <f>IF(B297="Egg Shop","",IF(J297="","",IFERROR(LOOKUP(2,1/(Purchases!$H$3:$H$2002=J297),Purchases!$F$3:$F$2002),"")))</f>
        <v/>
      </c>
      <c r="G297" s="43" t="str">
        <f t="shared" si="18"/>
        <v/>
      </c>
      <c r="H297" s="43" t="str">
        <f t="shared" si="19"/>
        <v/>
      </c>
      <c r="I297" s="43" t="str">
        <f t="shared" si="20"/>
        <v/>
      </c>
      <c r="J297" s="43" t="str">
        <f t="shared" si="21"/>
        <v/>
      </c>
      <c r="K297" s="43" t="str">
        <f t="shared" si="22"/>
        <v/>
      </c>
    </row>
    <row r="298" spans="1:11">
      <c r="A298" s="43"/>
      <c r="B298" s="43"/>
      <c r="C298" s="43"/>
      <c r="D298" s="43"/>
      <c r="E298" s="43"/>
      <c r="F298" s="43" t="str">
        <f>IF(B298="Egg Shop","",IF(J298="","",IFERROR(LOOKUP(2,1/(Purchases!$H$3:$H$2002=J298),Purchases!$F$3:$F$2002),"")))</f>
        <v/>
      </c>
      <c r="G298" s="43" t="str">
        <f t="shared" si="18"/>
        <v/>
      </c>
      <c r="H298" s="43" t="str">
        <f t="shared" si="19"/>
        <v/>
      </c>
      <c r="I298" s="43" t="str">
        <f t="shared" si="20"/>
        <v/>
      </c>
      <c r="J298" s="43" t="str">
        <f t="shared" si="21"/>
        <v/>
      </c>
      <c r="K298" s="43" t="str">
        <f t="shared" si="22"/>
        <v/>
      </c>
    </row>
    <row r="299" spans="1:11">
      <c r="A299" s="43"/>
      <c r="B299" s="43"/>
      <c r="C299" s="43"/>
      <c r="D299" s="43"/>
      <c r="E299" s="43"/>
      <c r="F299" s="43" t="str">
        <f>IF(B299="Egg Shop","",IF(J299="","",IFERROR(LOOKUP(2,1/(Purchases!$H$3:$H$2002=J299),Purchases!$F$3:$F$2002),"")))</f>
        <v/>
      </c>
      <c r="G299" s="43" t="str">
        <f t="shared" si="18"/>
        <v/>
      </c>
      <c r="H299" s="43" t="str">
        <f t="shared" si="19"/>
        <v/>
      </c>
      <c r="I299" s="43" t="str">
        <f t="shared" si="20"/>
        <v/>
      </c>
      <c r="J299" s="43" t="str">
        <f t="shared" si="21"/>
        <v/>
      </c>
      <c r="K299" s="43" t="str">
        <f t="shared" si="22"/>
        <v/>
      </c>
    </row>
    <row r="300" spans="1:11">
      <c r="A300" s="43"/>
      <c r="B300" s="43"/>
      <c r="C300" s="43"/>
      <c r="D300" s="43"/>
      <c r="E300" s="43"/>
      <c r="F300" s="43" t="str">
        <f>IF(B300="Egg Shop","",IF(J300="","",IFERROR(LOOKUP(2,1/(Purchases!$H$3:$H$2002=J300),Purchases!$F$3:$F$2002),"")))</f>
        <v/>
      </c>
      <c r="G300" s="43" t="str">
        <f t="shared" si="18"/>
        <v/>
      </c>
      <c r="H300" s="43" t="str">
        <f t="shared" si="19"/>
        <v/>
      </c>
      <c r="I300" s="43" t="str">
        <f t="shared" si="20"/>
        <v/>
      </c>
      <c r="J300" s="43" t="str">
        <f t="shared" si="21"/>
        <v/>
      </c>
      <c r="K300" s="43" t="str">
        <f t="shared" si="22"/>
        <v/>
      </c>
    </row>
    <row r="301" spans="1:11">
      <c r="A301" s="43"/>
      <c r="B301" s="43"/>
      <c r="C301" s="43"/>
      <c r="D301" s="43"/>
      <c r="E301" s="43"/>
      <c r="F301" s="43" t="str">
        <f>IF(B301="Egg Shop","",IF(J301="","",IFERROR(LOOKUP(2,1/(Purchases!$H$3:$H$2002=J301),Purchases!$F$3:$F$2002),"")))</f>
        <v/>
      </c>
      <c r="G301" s="43" t="str">
        <f t="shared" si="18"/>
        <v/>
      </c>
      <c r="H301" s="43" t="str">
        <f t="shared" si="19"/>
        <v/>
      </c>
      <c r="I301" s="43" t="str">
        <f t="shared" si="20"/>
        <v/>
      </c>
      <c r="J301" s="43" t="str">
        <f t="shared" si="21"/>
        <v/>
      </c>
      <c r="K301" s="43" t="str">
        <f t="shared" si="22"/>
        <v/>
      </c>
    </row>
    <row r="302" spans="1:11">
      <c r="A302" s="43"/>
      <c r="B302" s="43"/>
      <c r="C302" s="43"/>
      <c r="D302" s="43"/>
      <c r="E302" s="43"/>
      <c r="F302" s="43" t="str">
        <f>IF(B302="Egg Shop","",IF(J302="","",IFERROR(LOOKUP(2,1/(Purchases!$H$3:$H$2002=J302),Purchases!$F$3:$F$2002),"")))</f>
        <v/>
      </c>
      <c r="G302" s="43" t="str">
        <f t="shared" si="18"/>
        <v/>
      </c>
      <c r="H302" s="43" t="str">
        <f t="shared" si="19"/>
        <v/>
      </c>
      <c r="I302" s="43" t="str">
        <f t="shared" si="20"/>
        <v/>
      </c>
      <c r="J302" s="43" t="str">
        <f t="shared" si="21"/>
        <v/>
      </c>
      <c r="K302" s="43" t="str">
        <f t="shared" si="22"/>
        <v/>
      </c>
    </row>
    <row r="303" spans="1:11">
      <c r="A303" s="43"/>
      <c r="B303" s="43"/>
      <c r="C303" s="43"/>
      <c r="D303" s="43"/>
      <c r="E303" s="43"/>
      <c r="F303" s="43" t="str">
        <f>IF(B303="Egg Shop","",IF(J303="","",IFERROR(LOOKUP(2,1/(Purchases!$H$3:$H$2002=J303),Purchases!$F$3:$F$2002),"")))</f>
        <v/>
      </c>
      <c r="G303" s="43" t="str">
        <f t="shared" si="18"/>
        <v/>
      </c>
      <c r="H303" s="43" t="str">
        <f t="shared" si="19"/>
        <v/>
      </c>
      <c r="I303" s="43" t="str">
        <f t="shared" si="20"/>
        <v/>
      </c>
      <c r="J303" s="43" t="str">
        <f t="shared" si="21"/>
        <v/>
      </c>
      <c r="K303" s="43" t="str">
        <f t="shared" si="22"/>
        <v/>
      </c>
    </row>
    <row r="304" spans="1:11">
      <c r="A304" s="43"/>
      <c r="B304" s="43"/>
      <c r="C304" s="43"/>
      <c r="D304" s="43"/>
      <c r="E304" s="43"/>
      <c r="F304" s="43" t="str">
        <f>IF(B304="Egg Shop","",IF(J304="","",IFERROR(LOOKUP(2,1/(Purchases!$H$3:$H$2002=J304),Purchases!$F$3:$F$2002),"")))</f>
        <v/>
      </c>
      <c r="G304" s="43" t="str">
        <f t="shared" si="18"/>
        <v/>
      </c>
      <c r="H304" s="43" t="str">
        <f t="shared" si="19"/>
        <v/>
      </c>
      <c r="I304" s="43" t="str">
        <f t="shared" si="20"/>
        <v/>
      </c>
      <c r="J304" s="43" t="str">
        <f t="shared" si="21"/>
        <v/>
      </c>
      <c r="K304" s="43" t="str">
        <f t="shared" si="22"/>
        <v/>
      </c>
    </row>
    <row r="305" spans="1:11">
      <c r="A305" s="43"/>
      <c r="B305" s="43"/>
      <c r="C305" s="43"/>
      <c r="D305" s="43"/>
      <c r="E305" s="43"/>
      <c r="F305" s="43" t="str">
        <f>IF(B305="Egg Shop","",IF(J305="","",IFERROR(LOOKUP(2,1/(Purchases!$H$3:$H$2002=J305),Purchases!$F$3:$F$2002),"")))</f>
        <v/>
      </c>
      <c r="G305" s="43" t="str">
        <f t="shared" si="18"/>
        <v/>
      </c>
      <c r="H305" s="43" t="str">
        <f t="shared" si="19"/>
        <v/>
      </c>
      <c r="I305" s="43" t="str">
        <f t="shared" si="20"/>
        <v/>
      </c>
      <c r="J305" s="43" t="str">
        <f t="shared" si="21"/>
        <v/>
      </c>
      <c r="K305" s="43" t="str">
        <f t="shared" si="22"/>
        <v/>
      </c>
    </row>
    <row r="306" spans="1:11">
      <c r="A306" s="43"/>
      <c r="B306" s="43"/>
      <c r="C306" s="43"/>
      <c r="D306" s="43"/>
      <c r="E306" s="43"/>
      <c r="F306" s="43" t="str">
        <f>IF(B306="Egg Shop","",IF(J306="","",IFERROR(LOOKUP(2,1/(Purchases!$H$3:$H$2002=J306),Purchases!$F$3:$F$2002),"")))</f>
        <v/>
      </c>
      <c r="G306" s="43" t="str">
        <f t="shared" si="18"/>
        <v/>
      </c>
      <c r="H306" s="43" t="str">
        <f t="shared" si="19"/>
        <v/>
      </c>
      <c r="I306" s="43" t="str">
        <f t="shared" si="20"/>
        <v/>
      </c>
      <c r="J306" s="43" t="str">
        <f t="shared" si="21"/>
        <v/>
      </c>
      <c r="K306" s="43" t="str">
        <f t="shared" si="22"/>
        <v/>
      </c>
    </row>
    <row r="307" spans="1:11">
      <c r="A307" s="43"/>
      <c r="B307" s="43"/>
      <c r="C307" s="43"/>
      <c r="D307" s="43"/>
      <c r="E307" s="43"/>
      <c r="F307" s="43" t="str">
        <f>IF(B307="Egg Shop","",IF(J307="","",IFERROR(LOOKUP(2,1/(Purchases!$H$3:$H$2002=J307),Purchases!$F$3:$F$2002),"")))</f>
        <v/>
      </c>
      <c r="G307" s="43" t="str">
        <f t="shared" si="18"/>
        <v/>
      </c>
      <c r="H307" s="43" t="str">
        <f t="shared" si="19"/>
        <v/>
      </c>
      <c r="I307" s="43" t="str">
        <f t="shared" si="20"/>
        <v/>
      </c>
      <c r="J307" s="43" t="str">
        <f t="shared" si="21"/>
        <v/>
      </c>
      <c r="K307" s="43" t="str">
        <f t="shared" si="22"/>
        <v/>
      </c>
    </row>
    <row r="308" spans="1:11">
      <c r="A308" s="43"/>
      <c r="B308" s="43"/>
      <c r="C308" s="43"/>
      <c r="D308" s="43"/>
      <c r="E308" s="43"/>
      <c r="F308" s="43" t="str">
        <f>IF(B308="Egg Shop","",IF(J308="","",IFERROR(LOOKUP(2,1/(Purchases!$H$3:$H$2002=J308),Purchases!$F$3:$F$2002),"")))</f>
        <v/>
      </c>
      <c r="G308" s="43" t="str">
        <f t="shared" si="18"/>
        <v/>
      </c>
      <c r="H308" s="43" t="str">
        <f t="shared" si="19"/>
        <v/>
      </c>
      <c r="I308" s="43" t="str">
        <f t="shared" si="20"/>
        <v/>
      </c>
      <c r="J308" s="43" t="str">
        <f t="shared" si="21"/>
        <v/>
      </c>
      <c r="K308" s="43" t="str">
        <f t="shared" si="22"/>
        <v/>
      </c>
    </row>
    <row r="309" spans="1:11">
      <c r="A309" s="43"/>
      <c r="B309" s="43"/>
      <c r="C309" s="43"/>
      <c r="D309" s="43"/>
      <c r="E309" s="43"/>
      <c r="F309" s="43" t="str">
        <f>IF(B309="Egg Shop","",IF(J309="","",IFERROR(LOOKUP(2,1/(Purchases!$H$3:$H$2002=J309),Purchases!$F$3:$F$2002),"")))</f>
        <v/>
      </c>
      <c r="G309" s="43" t="str">
        <f t="shared" si="18"/>
        <v/>
      </c>
      <c r="H309" s="43" t="str">
        <f t="shared" si="19"/>
        <v/>
      </c>
      <c r="I309" s="43" t="str">
        <f t="shared" si="20"/>
        <v/>
      </c>
      <c r="J309" s="43" t="str">
        <f t="shared" si="21"/>
        <v/>
      </c>
      <c r="K309" s="43" t="str">
        <f t="shared" si="22"/>
        <v/>
      </c>
    </row>
    <row r="310" spans="1:11">
      <c r="A310" s="43"/>
      <c r="B310" s="43"/>
      <c r="C310" s="43"/>
      <c r="D310" s="43"/>
      <c r="E310" s="43"/>
      <c r="F310" s="43" t="str">
        <f>IF(B310="Egg Shop","",IF(J310="","",IFERROR(LOOKUP(2,1/(Purchases!$H$3:$H$2002=J310),Purchases!$F$3:$F$2002),"")))</f>
        <v/>
      </c>
      <c r="G310" s="43" t="str">
        <f t="shared" si="18"/>
        <v/>
      </c>
      <c r="H310" s="43" t="str">
        <f t="shared" si="19"/>
        <v/>
      </c>
      <c r="I310" s="43" t="str">
        <f t="shared" si="20"/>
        <v/>
      </c>
      <c r="J310" s="43" t="str">
        <f t="shared" si="21"/>
        <v/>
      </c>
      <c r="K310" s="43" t="str">
        <f t="shared" si="22"/>
        <v/>
      </c>
    </row>
    <row r="311" spans="1:11">
      <c r="A311" s="43"/>
      <c r="B311" s="43"/>
      <c r="C311" s="43"/>
      <c r="D311" s="43"/>
      <c r="E311" s="43"/>
      <c r="F311" s="43" t="str">
        <f>IF(B311="Egg Shop","",IF(J311="","",IFERROR(LOOKUP(2,1/(Purchases!$H$3:$H$2002=J311),Purchases!$F$3:$F$2002),"")))</f>
        <v/>
      </c>
      <c r="G311" s="43" t="str">
        <f t="shared" si="18"/>
        <v/>
      </c>
      <c r="H311" s="43" t="str">
        <f t="shared" si="19"/>
        <v/>
      </c>
      <c r="I311" s="43" t="str">
        <f t="shared" si="20"/>
        <v/>
      </c>
      <c r="J311" s="43" t="str">
        <f t="shared" si="21"/>
        <v/>
      </c>
      <c r="K311" s="43" t="str">
        <f t="shared" si="22"/>
        <v/>
      </c>
    </row>
    <row r="312" spans="1:11">
      <c r="A312" s="43"/>
      <c r="B312" s="43"/>
      <c r="C312" s="43"/>
      <c r="D312" s="43"/>
      <c r="E312" s="43"/>
      <c r="F312" s="43" t="str">
        <f>IF(B312="Egg Shop","",IF(J312="","",IFERROR(LOOKUP(2,1/(Purchases!$H$3:$H$2002=J312),Purchases!$F$3:$F$2002),"")))</f>
        <v/>
      </c>
      <c r="G312" s="43" t="str">
        <f t="shared" si="18"/>
        <v/>
      </c>
      <c r="H312" s="43" t="str">
        <f t="shared" si="19"/>
        <v/>
      </c>
      <c r="I312" s="43" t="str">
        <f t="shared" si="20"/>
        <v/>
      </c>
      <c r="J312" s="43" t="str">
        <f t="shared" si="21"/>
        <v/>
      </c>
      <c r="K312" s="43" t="str">
        <f t="shared" si="22"/>
        <v/>
      </c>
    </row>
    <row r="313" spans="1:11">
      <c r="A313" s="43"/>
      <c r="B313" s="43"/>
      <c r="C313" s="43"/>
      <c r="D313" s="43"/>
      <c r="E313" s="43"/>
      <c r="F313" s="43" t="str">
        <f>IF(B313="Egg Shop","",IF(J313="","",IFERROR(LOOKUP(2,1/(Purchases!$H$3:$H$2002=J313),Purchases!$F$3:$F$2002),"")))</f>
        <v/>
      </c>
      <c r="G313" s="43" t="str">
        <f t="shared" si="18"/>
        <v/>
      </c>
      <c r="H313" s="43" t="str">
        <f t="shared" si="19"/>
        <v/>
      </c>
      <c r="I313" s="43" t="str">
        <f t="shared" si="20"/>
        <v/>
      </c>
      <c r="J313" s="43" t="str">
        <f t="shared" si="21"/>
        <v/>
      </c>
      <c r="K313" s="43" t="str">
        <f t="shared" si="22"/>
        <v/>
      </c>
    </row>
    <row r="314" spans="1:11">
      <c r="A314" s="43"/>
      <c r="B314" s="43"/>
      <c r="C314" s="43"/>
      <c r="D314" s="43"/>
      <c r="E314" s="43"/>
      <c r="F314" s="43" t="str">
        <f>IF(B314="Egg Shop","",IF(J314="","",IFERROR(LOOKUP(2,1/(Purchases!$H$3:$H$2002=J314),Purchases!$F$3:$F$2002),"")))</f>
        <v/>
      </c>
      <c r="G314" s="43" t="str">
        <f t="shared" si="18"/>
        <v/>
      </c>
      <c r="H314" s="43" t="str">
        <f t="shared" si="19"/>
        <v/>
      </c>
      <c r="I314" s="43" t="str">
        <f t="shared" si="20"/>
        <v/>
      </c>
      <c r="J314" s="43" t="str">
        <f t="shared" si="21"/>
        <v/>
      </c>
      <c r="K314" s="43" t="str">
        <f t="shared" si="22"/>
        <v/>
      </c>
    </row>
    <row r="315" spans="1:11">
      <c r="A315" s="43"/>
      <c r="B315" s="43"/>
      <c r="C315" s="43"/>
      <c r="D315" s="43"/>
      <c r="E315" s="43"/>
      <c r="F315" s="43" t="str">
        <f>IF(B315="Egg Shop","",IF(J315="","",IFERROR(LOOKUP(2,1/(Purchases!$H$3:$H$2002=J315),Purchases!$F$3:$F$2002),"")))</f>
        <v/>
      </c>
      <c r="G315" s="43" t="str">
        <f t="shared" si="18"/>
        <v/>
      </c>
      <c r="H315" s="43" t="str">
        <f t="shared" si="19"/>
        <v/>
      </c>
      <c r="I315" s="43" t="str">
        <f t="shared" si="20"/>
        <v/>
      </c>
      <c r="J315" s="43" t="str">
        <f t="shared" si="21"/>
        <v/>
      </c>
      <c r="K315" s="43" t="str">
        <f t="shared" si="22"/>
        <v/>
      </c>
    </row>
    <row r="316" spans="1:11">
      <c r="A316" s="43"/>
      <c r="B316" s="43"/>
      <c r="C316" s="43"/>
      <c r="D316" s="43"/>
      <c r="E316" s="43"/>
      <c r="F316" s="43" t="str">
        <f>IF(B316="Egg Shop","",IF(J316="","",IFERROR(LOOKUP(2,1/(Purchases!$H$3:$H$2002=J316),Purchases!$F$3:$F$2002),"")))</f>
        <v/>
      </c>
      <c r="G316" s="43" t="str">
        <f t="shared" si="18"/>
        <v/>
      </c>
      <c r="H316" s="43" t="str">
        <f t="shared" si="19"/>
        <v/>
      </c>
      <c r="I316" s="43" t="str">
        <f t="shared" si="20"/>
        <v/>
      </c>
      <c r="J316" s="43" t="str">
        <f t="shared" si="21"/>
        <v/>
      </c>
      <c r="K316" s="43" t="str">
        <f t="shared" si="22"/>
        <v/>
      </c>
    </row>
    <row r="317" spans="1:11">
      <c r="A317" s="43"/>
      <c r="B317" s="43"/>
      <c r="C317" s="43"/>
      <c r="D317" s="43"/>
      <c r="E317" s="43"/>
      <c r="F317" s="43" t="str">
        <f>IF(B317="Egg Shop","",IF(J317="","",IFERROR(LOOKUP(2,1/(Purchases!$H$3:$H$2002=J317),Purchases!$F$3:$F$2002),"")))</f>
        <v/>
      </c>
      <c r="G317" s="43" t="str">
        <f t="shared" si="18"/>
        <v/>
      </c>
      <c r="H317" s="43" t="str">
        <f t="shared" si="19"/>
        <v/>
      </c>
      <c r="I317" s="43" t="str">
        <f t="shared" si="20"/>
        <v/>
      </c>
      <c r="J317" s="43" t="str">
        <f t="shared" si="21"/>
        <v/>
      </c>
      <c r="K317" s="43" t="str">
        <f t="shared" si="22"/>
        <v/>
      </c>
    </row>
    <row r="318" spans="1:11">
      <c r="A318" s="43"/>
      <c r="B318" s="43"/>
      <c r="C318" s="43"/>
      <c r="D318" s="43"/>
      <c r="E318" s="43"/>
      <c r="F318" s="43" t="str">
        <f>IF(B318="Egg Shop","",IF(J318="","",IFERROR(LOOKUP(2,1/(Purchases!$H$3:$H$2002=J318),Purchases!$F$3:$F$2002),"")))</f>
        <v/>
      </c>
      <c r="G318" s="43" t="str">
        <f t="shared" si="18"/>
        <v/>
      </c>
      <c r="H318" s="43" t="str">
        <f t="shared" si="19"/>
        <v/>
      </c>
      <c r="I318" s="43" t="str">
        <f t="shared" si="20"/>
        <v/>
      </c>
      <c r="J318" s="43" t="str">
        <f t="shared" si="21"/>
        <v/>
      </c>
      <c r="K318" s="43" t="str">
        <f t="shared" si="22"/>
        <v/>
      </c>
    </row>
    <row r="319" spans="1:11">
      <c r="A319" s="43"/>
      <c r="B319" s="43"/>
      <c r="C319" s="43"/>
      <c r="D319" s="43"/>
      <c r="E319" s="43"/>
      <c r="F319" s="43" t="str">
        <f>IF(B319="Egg Shop","",IF(J319="","",IFERROR(LOOKUP(2,1/(Purchases!$H$3:$H$2002=J319),Purchases!$F$3:$F$2002),"")))</f>
        <v/>
      </c>
      <c r="G319" s="43" t="str">
        <f t="shared" si="18"/>
        <v/>
      </c>
      <c r="H319" s="43" t="str">
        <f t="shared" si="19"/>
        <v/>
      </c>
      <c r="I319" s="43" t="str">
        <f t="shared" si="20"/>
        <v/>
      </c>
      <c r="J319" s="43" t="str">
        <f t="shared" si="21"/>
        <v/>
      </c>
      <c r="K319" s="43" t="str">
        <f t="shared" si="22"/>
        <v/>
      </c>
    </row>
    <row r="320" spans="1:11">
      <c r="A320" s="43"/>
      <c r="B320" s="43"/>
      <c r="C320" s="43"/>
      <c r="D320" s="43"/>
      <c r="E320" s="43"/>
      <c r="F320" s="43" t="str">
        <f>IF(B320="Egg Shop","",IF(J320="","",IFERROR(LOOKUP(2,1/(Purchases!$H$3:$H$2002=J320),Purchases!$F$3:$F$2002),"")))</f>
        <v/>
      </c>
      <c r="G320" s="43" t="str">
        <f t="shared" si="18"/>
        <v/>
      </c>
      <c r="H320" s="43" t="str">
        <f t="shared" si="19"/>
        <v/>
      </c>
      <c r="I320" s="43" t="str">
        <f t="shared" si="20"/>
        <v/>
      </c>
      <c r="J320" s="43" t="str">
        <f t="shared" si="21"/>
        <v/>
      </c>
      <c r="K320" s="43" t="str">
        <f t="shared" si="22"/>
        <v/>
      </c>
    </row>
    <row r="321" spans="1:11">
      <c r="A321" s="43"/>
      <c r="B321" s="43"/>
      <c r="C321" s="43"/>
      <c r="D321" s="43"/>
      <c r="E321" s="43"/>
      <c r="F321" s="43" t="str">
        <f>IF(B321="Egg Shop","",IF(J321="","",IFERROR(LOOKUP(2,1/(Purchases!$H$3:$H$2002=J321),Purchases!$F$3:$F$2002),"")))</f>
        <v/>
      </c>
      <c r="G321" s="43" t="str">
        <f t="shared" si="18"/>
        <v/>
      </c>
      <c r="H321" s="43" t="str">
        <f t="shared" si="19"/>
        <v/>
      </c>
      <c r="I321" s="43" t="str">
        <f t="shared" si="20"/>
        <v/>
      </c>
      <c r="J321" s="43" t="str">
        <f t="shared" si="21"/>
        <v/>
      </c>
      <c r="K321" s="43" t="str">
        <f t="shared" si="22"/>
        <v/>
      </c>
    </row>
    <row r="322" spans="1:11">
      <c r="A322" s="43"/>
      <c r="B322" s="43"/>
      <c r="C322" s="43"/>
      <c r="D322" s="43"/>
      <c r="E322" s="43"/>
      <c r="F322" s="43" t="str">
        <f>IF(B322="Egg Shop","",IF(J322="","",IFERROR(LOOKUP(2,1/(Purchases!$H$3:$H$2002=J322),Purchases!$F$3:$F$2002),"")))</f>
        <v/>
      </c>
      <c r="G322" s="43" t="str">
        <f t="shared" si="18"/>
        <v/>
      </c>
      <c r="H322" s="43" t="str">
        <f t="shared" si="19"/>
        <v/>
      </c>
      <c r="I322" s="43" t="str">
        <f t="shared" si="20"/>
        <v/>
      </c>
      <c r="J322" s="43" t="str">
        <f t="shared" si="21"/>
        <v/>
      </c>
      <c r="K322" s="43" t="str">
        <f t="shared" si="22"/>
        <v/>
      </c>
    </row>
    <row r="323" spans="1:11">
      <c r="A323" s="43"/>
      <c r="B323" s="43"/>
      <c r="C323" s="43"/>
      <c r="D323" s="43"/>
      <c r="E323" s="43"/>
      <c r="F323" s="43" t="str">
        <f>IF(B323="Egg Shop","",IF(J323="","",IFERROR(LOOKUP(2,1/(Purchases!$H$3:$H$2002=J323),Purchases!$F$3:$F$2002),"")))</f>
        <v/>
      </c>
      <c r="G323" s="43" t="str">
        <f t="shared" ref="G323:G386" si="23">IF(OR(D323="",E323=""),"",D323*E323)</f>
        <v/>
      </c>
      <c r="H323" s="43" t="str">
        <f t="shared" ref="H323:H386" si="24">IF(OR(D323="",F323=""),"",D323*F323)</f>
        <v/>
      </c>
      <c r="I323" s="43" t="str">
        <f t="shared" ref="I323:I386" si="25">IF(OR(G323="",H323=""),"",G323-H323)</f>
        <v/>
      </c>
      <c r="J323" s="43" t="str">
        <f t="shared" ref="J323:J386" si="26">IF(OR(B323="",C323=""),"",B323&amp;"|"&amp;C323)</f>
        <v/>
      </c>
      <c r="K323" s="43" t="str">
        <f t="shared" si="22"/>
        <v/>
      </c>
    </row>
    <row r="324" spans="1:11">
      <c r="A324" s="43"/>
      <c r="B324" s="43"/>
      <c r="C324" s="43"/>
      <c r="D324" s="43"/>
      <c r="E324" s="43"/>
      <c r="F324" s="43" t="str">
        <f>IF(B324="Egg Shop","",IF(J324="","",IFERROR(LOOKUP(2,1/(Purchases!$H$3:$H$2002=J324),Purchases!$F$3:$F$2002),"")))</f>
        <v/>
      </c>
      <c r="G324" s="43" t="str">
        <f t="shared" si="23"/>
        <v/>
      </c>
      <c r="H324" s="43" t="str">
        <f t="shared" si="24"/>
        <v/>
      </c>
      <c r="I324" s="43" t="str">
        <f t="shared" si="25"/>
        <v/>
      </c>
      <c r="J324" s="43" t="str">
        <f t="shared" si="26"/>
        <v/>
      </c>
      <c r="K324" s="43" t="str">
        <f t="shared" si="22"/>
        <v/>
      </c>
    </row>
    <row r="325" spans="1:11">
      <c r="A325" s="43"/>
      <c r="B325" s="43"/>
      <c r="C325" s="43"/>
      <c r="D325" s="43"/>
      <c r="E325" s="43"/>
      <c r="F325" s="43" t="str">
        <f>IF(B325="Egg Shop","",IF(J325="","",IFERROR(LOOKUP(2,1/(Purchases!$H$3:$H$2002=J325),Purchases!$F$3:$F$2002),"")))</f>
        <v/>
      </c>
      <c r="G325" s="43" t="str">
        <f t="shared" si="23"/>
        <v/>
      </c>
      <c r="H325" s="43" t="str">
        <f t="shared" si="24"/>
        <v/>
      </c>
      <c r="I325" s="43" t="str">
        <f t="shared" si="25"/>
        <v/>
      </c>
      <c r="J325" s="43" t="str">
        <f t="shared" si="26"/>
        <v/>
      </c>
      <c r="K325" s="43" t="str">
        <f t="shared" si="22"/>
        <v/>
      </c>
    </row>
    <row r="326" spans="1:11">
      <c r="A326" s="43"/>
      <c r="B326" s="43"/>
      <c r="C326" s="43"/>
      <c r="D326" s="43"/>
      <c r="E326" s="43"/>
      <c r="F326" s="43" t="str">
        <f>IF(B326="Egg Shop","",IF(J326="","",IFERROR(LOOKUP(2,1/(Purchases!$H$3:$H$2002=J326),Purchases!$F$3:$F$2002),"")))</f>
        <v/>
      </c>
      <c r="G326" s="43" t="str">
        <f t="shared" si="23"/>
        <v/>
      </c>
      <c r="H326" s="43" t="str">
        <f t="shared" si="24"/>
        <v/>
      </c>
      <c r="I326" s="43" t="str">
        <f t="shared" si="25"/>
        <v/>
      </c>
      <c r="J326" s="43" t="str">
        <f t="shared" si="26"/>
        <v/>
      </c>
      <c r="K326" s="43" t="str">
        <f t="shared" si="22"/>
        <v/>
      </c>
    </row>
    <row r="327" spans="1:11">
      <c r="A327" s="43"/>
      <c r="B327" s="43"/>
      <c r="C327" s="43"/>
      <c r="D327" s="43"/>
      <c r="E327" s="43"/>
      <c r="F327" s="43" t="str">
        <f>IF(B327="Egg Shop","",IF(J327="","",IFERROR(LOOKUP(2,1/(Purchases!$H$3:$H$2002=J327),Purchases!$F$3:$F$2002),"")))</f>
        <v/>
      </c>
      <c r="G327" s="43" t="str">
        <f t="shared" si="23"/>
        <v/>
      </c>
      <c r="H327" s="43" t="str">
        <f t="shared" si="24"/>
        <v/>
      </c>
      <c r="I327" s="43" t="str">
        <f t="shared" si="25"/>
        <v/>
      </c>
      <c r="J327" s="43" t="str">
        <f t="shared" si="26"/>
        <v/>
      </c>
      <c r="K327" s="43" t="str">
        <f t="shared" si="22"/>
        <v/>
      </c>
    </row>
    <row r="328" spans="1:11">
      <c r="A328" s="43"/>
      <c r="B328" s="43"/>
      <c r="C328" s="43"/>
      <c r="D328" s="43"/>
      <c r="E328" s="43"/>
      <c r="F328" s="43" t="str">
        <f>IF(B328="Egg Shop","",IF(J328="","",IFERROR(LOOKUP(2,1/(Purchases!$H$3:$H$2002=J328),Purchases!$F$3:$F$2002),"")))</f>
        <v/>
      </c>
      <c r="G328" s="43" t="str">
        <f t="shared" si="23"/>
        <v/>
      </c>
      <c r="H328" s="43" t="str">
        <f t="shared" si="24"/>
        <v/>
      </c>
      <c r="I328" s="43" t="str">
        <f t="shared" si="25"/>
        <v/>
      </c>
      <c r="J328" s="43" t="str">
        <f t="shared" si="26"/>
        <v/>
      </c>
      <c r="K328" s="43" t="str">
        <f t="shared" si="22"/>
        <v/>
      </c>
    </row>
    <row r="329" spans="1:11">
      <c r="A329" s="43"/>
      <c r="B329" s="43"/>
      <c r="C329" s="43"/>
      <c r="D329" s="43"/>
      <c r="E329" s="43"/>
      <c r="F329" s="43" t="str">
        <f>IF(B329="Egg Shop","",IF(J329="","",IFERROR(LOOKUP(2,1/(Purchases!$H$3:$H$2002=J329),Purchases!$F$3:$F$2002),"")))</f>
        <v/>
      </c>
      <c r="G329" s="43" t="str">
        <f t="shared" si="23"/>
        <v/>
      </c>
      <c r="H329" s="43" t="str">
        <f t="shared" si="24"/>
        <v/>
      </c>
      <c r="I329" s="43" t="str">
        <f t="shared" si="25"/>
        <v/>
      </c>
      <c r="J329" s="43" t="str">
        <f t="shared" si="26"/>
        <v/>
      </c>
      <c r="K329" s="43" t="str">
        <f t="shared" si="22"/>
        <v/>
      </c>
    </row>
    <row r="330" spans="1:11">
      <c r="A330" s="43"/>
      <c r="B330" s="43"/>
      <c r="C330" s="43"/>
      <c r="D330" s="43"/>
      <c r="E330" s="43"/>
      <c r="F330" s="43" t="str">
        <f>IF(B330="Egg Shop","",IF(J330="","",IFERROR(LOOKUP(2,1/(Purchases!$H$3:$H$2002=J330),Purchases!$F$3:$F$2002),"")))</f>
        <v/>
      </c>
      <c r="G330" s="43" t="str">
        <f t="shared" si="23"/>
        <v/>
      </c>
      <c r="H330" s="43" t="str">
        <f t="shared" si="24"/>
        <v/>
      </c>
      <c r="I330" s="43" t="str">
        <f t="shared" si="25"/>
        <v/>
      </c>
      <c r="J330" s="43" t="str">
        <f t="shared" si="26"/>
        <v/>
      </c>
      <c r="K330" s="43" t="str">
        <f t="shared" si="22"/>
        <v/>
      </c>
    </row>
    <row r="331" spans="1:11">
      <c r="A331" s="43"/>
      <c r="B331" s="43"/>
      <c r="C331" s="43"/>
      <c r="D331" s="43"/>
      <c r="E331" s="43"/>
      <c r="F331" s="43" t="str">
        <f>IF(B331="Egg Shop","",IF(J331="","",IFERROR(LOOKUP(2,1/(Purchases!$H$3:$H$2002=J331),Purchases!$F$3:$F$2002),"")))</f>
        <v/>
      </c>
      <c r="G331" s="43" t="str">
        <f t="shared" si="23"/>
        <v/>
      </c>
      <c r="H331" s="43" t="str">
        <f t="shared" si="24"/>
        <v/>
      </c>
      <c r="I331" s="43" t="str">
        <f t="shared" si="25"/>
        <v/>
      </c>
      <c r="J331" s="43" t="str">
        <f t="shared" si="26"/>
        <v/>
      </c>
      <c r="K331" s="43" t="str">
        <f t="shared" si="22"/>
        <v/>
      </c>
    </row>
    <row r="332" spans="1:11">
      <c r="A332" s="43"/>
      <c r="B332" s="43"/>
      <c r="C332" s="43"/>
      <c r="D332" s="43"/>
      <c r="E332" s="43"/>
      <c r="F332" s="43" t="str">
        <f>IF(B332="Egg Shop","",IF(J332="","",IFERROR(LOOKUP(2,1/(Purchases!$H$3:$H$2002=J332),Purchases!$F$3:$F$2002),"")))</f>
        <v/>
      </c>
      <c r="G332" s="43" t="str">
        <f t="shared" si="23"/>
        <v/>
      </c>
      <c r="H332" s="43" t="str">
        <f t="shared" si="24"/>
        <v/>
      </c>
      <c r="I332" s="43" t="str">
        <f t="shared" si="25"/>
        <v/>
      </c>
      <c r="J332" s="43" t="str">
        <f t="shared" si="26"/>
        <v/>
      </c>
      <c r="K332" s="43" t="str">
        <f t="shared" si="22"/>
        <v/>
      </c>
    </row>
    <row r="333" spans="1:11">
      <c r="A333" s="43"/>
      <c r="B333" s="43"/>
      <c r="C333" s="43"/>
      <c r="D333" s="43"/>
      <c r="E333" s="43"/>
      <c r="F333" s="43" t="str">
        <f>IF(B333="Egg Shop","",IF(J333="","",IFERROR(LOOKUP(2,1/(Purchases!$H$3:$H$2002=J333),Purchases!$F$3:$F$2002),"")))</f>
        <v/>
      </c>
      <c r="G333" s="43" t="str">
        <f t="shared" si="23"/>
        <v/>
      </c>
      <c r="H333" s="43" t="str">
        <f t="shared" si="24"/>
        <v/>
      </c>
      <c r="I333" s="43" t="str">
        <f t="shared" si="25"/>
        <v/>
      </c>
      <c r="J333" s="43" t="str">
        <f t="shared" si="26"/>
        <v/>
      </c>
      <c r="K333" s="43" t="str">
        <f t="shared" si="22"/>
        <v/>
      </c>
    </row>
    <row r="334" spans="1:11">
      <c r="A334" s="43"/>
      <c r="B334" s="43"/>
      <c r="C334" s="43"/>
      <c r="D334" s="43"/>
      <c r="E334" s="43"/>
      <c r="F334" s="43" t="str">
        <f>IF(B334="Egg Shop","",IF(J334="","",IFERROR(LOOKUP(2,1/(Purchases!$H$3:$H$2002=J334),Purchases!$F$3:$F$2002),"")))</f>
        <v/>
      </c>
      <c r="G334" s="43" t="str">
        <f t="shared" si="23"/>
        <v/>
      </c>
      <c r="H334" s="43" t="str">
        <f t="shared" si="24"/>
        <v/>
      </c>
      <c r="I334" s="43" t="str">
        <f t="shared" si="25"/>
        <v/>
      </c>
      <c r="J334" s="43" t="str">
        <f t="shared" si="26"/>
        <v/>
      </c>
      <c r="K334" s="43" t="str">
        <f t="shared" si="22"/>
        <v/>
      </c>
    </row>
    <row r="335" spans="1:11">
      <c r="A335" s="43"/>
      <c r="B335" s="43"/>
      <c r="C335" s="43"/>
      <c r="D335" s="43"/>
      <c r="E335" s="43"/>
      <c r="F335" s="43" t="str">
        <f>IF(B335="Egg Shop","",IF(J335="","",IFERROR(LOOKUP(2,1/(Purchases!$H$3:$H$2002=J335),Purchases!$F$3:$F$2002),"")))</f>
        <v/>
      </c>
      <c r="G335" s="43" t="str">
        <f t="shared" si="23"/>
        <v/>
      </c>
      <c r="H335" s="43" t="str">
        <f t="shared" si="24"/>
        <v/>
      </c>
      <c r="I335" s="43" t="str">
        <f t="shared" si="25"/>
        <v/>
      </c>
      <c r="J335" s="43" t="str">
        <f t="shared" si="26"/>
        <v/>
      </c>
      <c r="K335" s="43" t="str">
        <f t="shared" si="22"/>
        <v/>
      </c>
    </row>
    <row r="336" spans="1:11">
      <c r="A336" s="43"/>
      <c r="B336" s="43"/>
      <c r="C336" s="43"/>
      <c r="D336" s="43"/>
      <c r="E336" s="43"/>
      <c r="F336" s="43" t="str">
        <f>IF(B336="Egg Shop","",IF(J336="","",IFERROR(LOOKUP(2,1/(Purchases!$H$3:$H$2002=J336),Purchases!$F$3:$F$2002),"")))</f>
        <v/>
      </c>
      <c r="G336" s="43" t="str">
        <f t="shared" si="23"/>
        <v/>
      </c>
      <c r="H336" s="43" t="str">
        <f t="shared" si="24"/>
        <v/>
      </c>
      <c r="I336" s="43" t="str">
        <f t="shared" si="25"/>
        <v/>
      </c>
      <c r="J336" s="43" t="str">
        <f t="shared" si="26"/>
        <v/>
      </c>
      <c r="K336" s="43" t="str">
        <f t="shared" si="22"/>
        <v/>
      </c>
    </row>
    <row r="337" spans="1:11">
      <c r="A337" s="43"/>
      <c r="B337" s="43"/>
      <c r="C337" s="43"/>
      <c r="D337" s="43"/>
      <c r="E337" s="43"/>
      <c r="F337" s="43" t="str">
        <f>IF(B337="Egg Shop","",IF(J337="","",IFERROR(LOOKUP(2,1/(Purchases!$H$3:$H$2002=J337),Purchases!$F$3:$F$2002),"")))</f>
        <v/>
      </c>
      <c r="G337" s="43" t="str">
        <f t="shared" si="23"/>
        <v/>
      </c>
      <c r="H337" s="43" t="str">
        <f t="shared" si="24"/>
        <v/>
      </c>
      <c r="I337" s="43" t="str">
        <f t="shared" si="25"/>
        <v/>
      </c>
      <c r="J337" s="43" t="str">
        <f t="shared" si="26"/>
        <v/>
      </c>
      <c r="K337" s="43" t="str">
        <f t="shared" si="22"/>
        <v/>
      </c>
    </row>
    <row r="338" spans="1:11">
      <c r="A338" s="43"/>
      <c r="B338" s="43"/>
      <c r="C338" s="43"/>
      <c r="D338" s="43"/>
      <c r="E338" s="43"/>
      <c r="F338" s="43" t="str">
        <f>IF(B338="Egg Shop","",IF(J338="","",IFERROR(LOOKUP(2,1/(Purchases!$H$3:$H$2002=J338),Purchases!$F$3:$F$2002),"")))</f>
        <v/>
      </c>
      <c r="G338" s="43" t="str">
        <f t="shared" si="23"/>
        <v/>
      </c>
      <c r="H338" s="43" t="str">
        <f t="shared" si="24"/>
        <v/>
      </c>
      <c r="I338" s="43" t="str">
        <f t="shared" si="25"/>
        <v/>
      </c>
      <c r="J338" s="43" t="str">
        <f t="shared" si="26"/>
        <v/>
      </c>
      <c r="K338" s="43" t="str">
        <f t="shared" ref="K338:K401" si="27">IF(A338&lt;&gt;"","Cash","")</f>
        <v/>
      </c>
    </row>
    <row r="339" spans="1:11">
      <c r="A339" s="43"/>
      <c r="B339" s="43"/>
      <c r="C339" s="43"/>
      <c r="D339" s="43"/>
      <c r="E339" s="43"/>
      <c r="F339" s="43" t="str">
        <f>IF(B339="Egg Shop","",IF(J339="","",IFERROR(LOOKUP(2,1/(Purchases!$H$3:$H$2002=J339),Purchases!$F$3:$F$2002),"")))</f>
        <v/>
      </c>
      <c r="G339" s="43" t="str">
        <f t="shared" si="23"/>
        <v/>
      </c>
      <c r="H339" s="43" t="str">
        <f t="shared" si="24"/>
        <v/>
      </c>
      <c r="I339" s="43" t="str">
        <f t="shared" si="25"/>
        <v/>
      </c>
      <c r="J339" s="43" t="str">
        <f t="shared" si="26"/>
        <v/>
      </c>
      <c r="K339" s="43" t="str">
        <f t="shared" si="27"/>
        <v/>
      </c>
    </row>
    <row r="340" spans="1:11">
      <c r="A340" s="43"/>
      <c r="B340" s="43"/>
      <c r="C340" s="43"/>
      <c r="D340" s="43"/>
      <c r="E340" s="43"/>
      <c r="F340" s="43" t="str">
        <f>IF(B340="Egg Shop","",IF(J340="","",IFERROR(LOOKUP(2,1/(Purchases!$H$3:$H$2002=J340),Purchases!$F$3:$F$2002),"")))</f>
        <v/>
      </c>
      <c r="G340" s="43" t="str">
        <f t="shared" si="23"/>
        <v/>
      </c>
      <c r="H340" s="43" t="str">
        <f t="shared" si="24"/>
        <v/>
      </c>
      <c r="I340" s="43" t="str">
        <f t="shared" si="25"/>
        <v/>
      </c>
      <c r="J340" s="43" t="str">
        <f t="shared" si="26"/>
        <v/>
      </c>
      <c r="K340" s="43" t="str">
        <f t="shared" si="27"/>
        <v/>
      </c>
    </row>
    <row r="341" spans="1:11">
      <c r="A341" s="43"/>
      <c r="B341" s="43"/>
      <c r="C341" s="43"/>
      <c r="D341" s="43"/>
      <c r="E341" s="43"/>
      <c r="F341" s="43" t="str">
        <f>IF(B341="Egg Shop","",IF(J341="","",IFERROR(LOOKUP(2,1/(Purchases!$H$3:$H$2002=J341),Purchases!$F$3:$F$2002),"")))</f>
        <v/>
      </c>
      <c r="G341" s="43" t="str">
        <f t="shared" si="23"/>
        <v/>
      </c>
      <c r="H341" s="43" t="str">
        <f t="shared" si="24"/>
        <v/>
      </c>
      <c r="I341" s="43" t="str">
        <f t="shared" si="25"/>
        <v/>
      </c>
      <c r="J341" s="43" t="str">
        <f t="shared" si="26"/>
        <v/>
      </c>
      <c r="K341" s="43" t="str">
        <f t="shared" si="27"/>
        <v/>
      </c>
    </row>
    <row r="342" spans="1:11">
      <c r="A342" s="43"/>
      <c r="B342" s="43"/>
      <c r="C342" s="43"/>
      <c r="D342" s="43"/>
      <c r="E342" s="43"/>
      <c r="F342" s="43" t="str">
        <f>IF(B342="Egg Shop","",IF(J342="","",IFERROR(LOOKUP(2,1/(Purchases!$H$3:$H$2002=J342),Purchases!$F$3:$F$2002),"")))</f>
        <v/>
      </c>
      <c r="G342" s="43" t="str">
        <f t="shared" si="23"/>
        <v/>
      </c>
      <c r="H342" s="43" t="str">
        <f t="shared" si="24"/>
        <v/>
      </c>
      <c r="I342" s="43" t="str">
        <f t="shared" si="25"/>
        <v/>
      </c>
      <c r="J342" s="43" t="str">
        <f t="shared" si="26"/>
        <v/>
      </c>
      <c r="K342" s="43" t="str">
        <f t="shared" si="27"/>
        <v/>
      </c>
    </row>
    <row r="343" spans="1:11">
      <c r="A343" s="43"/>
      <c r="B343" s="43"/>
      <c r="C343" s="43"/>
      <c r="D343" s="43"/>
      <c r="E343" s="43"/>
      <c r="F343" s="43" t="str">
        <f>IF(B343="Egg Shop","",IF(J343="","",IFERROR(LOOKUP(2,1/(Purchases!$H$3:$H$2002=J343),Purchases!$F$3:$F$2002),"")))</f>
        <v/>
      </c>
      <c r="G343" s="43" t="str">
        <f t="shared" si="23"/>
        <v/>
      </c>
      <c r="H343" s="43" t="str">
        <f t="shared" si="24"/>
        <v/>
      </c>
      <c r="I343" s="43" t="str">
        <f t="shared" si="25"/>
        <v/>
      </c>
      <c r="J343" s="43" t="str">
        <f t="shared" si="26"/>
        <v/>
      </c>
      <c r="K343" s="43" t="str">
        <f t="shared" si="27"/>
        <v/>
      </c>
    </row>
    <row r="344" spans="1:11">
      <c r="A344" s="43"/>
      <c r="B344" s="43"/>
      <c r="C344" s="43"/>
      <c r="D344" s="43"/>
      <c r="E344" s="43"/>
      <c r="F344" s="43" t="str">
        <f>IF(B344="Egg Shop","",IF(J344="","",IFERROR(LOOKUP(2,1/(Purchases!$H$3:$H$2002=J344),Purchases!$F$3:$F$2002),"")))</f>
        <v/>
      </c>
      <c r="G344" s="43" t="str">
        <f t="shared" si="23"/>
        <v/>
      </c>
      <c r="H344" s="43" t="str">
        <f t="shared" si="24"/>
        <v/>
      </c>
      <c r="I344" s="43" t="str">
        <f t="shared" si="25"/>
        <v/>
      </c>
      <c r="J344" s="43" t="str">
        <f t="shared" si="26"/>
        <v/>
      </c>
      <c r="K344" s="43" t="str">
        <f t="shared" si="27"/>
        <v/>
      </c>
    </row>
    <row r="345" spans="1:11">
      <c r="A345" s="43"/>
      <c r="B345" s="43"/>
      <c r="C345" s="43"/>
      <c r="D345" s="43"/>
      <c r="E345" s="43"/>
      <c r="F345" s="43" t="str">
        <f>IF(B345="Egg Shop","",IF(J345="","",IFERROR(LOOKUP(2,1/(Purchases!$H$3:$H$2002=J345),Purchases!$F$3:$F$2002),"")))</f>
        <v/>
      </c>
      <c r="G345" s="43" t="str">
        <f t="shared" si="23"/>
        <v/>
      </c>
      <c r="H345" s="43" t="str">
        <f t="shared" si="24"/>
        <v/>
      </c>
      <c r="I345" s="43" t="str">
        <f t="shared" si="25"/>
        <v/>
      </c>
      <c r="J345" s="43" t="str">
        <f t="shared" si="26"/>
        <v/>
      </c>
      <c r="K345" s="43" t="str">
        <f t="shared" si="27"/>
        <v/>
      </c>
    </row>
    <row r="346" spans="1:11">
      <c r="A346" s="43"/>
      <c r="B346" s="43"/>
      <c r="C346" s="43"/>
      <c r="D346" s="43"/>
      <c r="E346" s="43"/>
      <c r="F346" s="43" t="str">
        <f>IF(B346="Egg Shop","",IF(J346="","",IFERROR(LOOKUP(2,1/(Purchases!$H$3:$H$2002=J346),Purchases!$F$3:$F$2002),"")))</f>
        <v/>
      </c>
      <c r="G346" s="43" t="str">
        <f t="shared" si="23"/>
        <v/>
      </c>
      <c r="H346" s="43" t="str">
        <f t="shared" si="24"/>
        <v/>
      </c>
      <c r="I346" s="43" t="str">
        <f t="shared" si="25"/>
        <v/>
      </c>
      <c r="J346" s="43" t="str">
        <f t="shared" si="26"/>
        <v/>
      </c>
      <c r="K346" s="43" t="str">
        <f t="shared" si="27"/>
        <v/>
      </c>
    </row>
    <row r="347" spans="1:11">
      <c r="A347" s="43"/>
      <c r="B347" s="43"/>
      <c r="C347" s="43"/>
      <c r="D347" s="43"/>
      <c r="E347" s="43"/>
      <c r="F347" s="43" t="str">
        <f>IF(B347="Egg Shop","",IF(J347="","",IFERROR(LOOKUP(2,1/(Purchases!$H$3:$H$2002=J347),Purchases!$F$3:$F$2002),"")))</f>
        <v/>
      </c>
      <c r="G347" s="43" t="str">
        <f t="shared" si="23"/>
        <v/>
      </c>
      <c r="H347" s="43" t="str">
        <f t="shared" si="24"/>
        <v/>
      </c>
      <c r="I347" s="43" t="str">
        <f t="shared" si="25"/>
        <v/>
      </c>
      <c r="J347" s="43" t="str">
        <f t="shared" si="26"/>
        <v/>
      </c>
      <c r="K347" s="43" t="str">
        <f t="shared" si="27"/>
        <v/>
      </c>
    </row>
    <row r="348" spans="1:11">
      <c r="A348" s="43"/>
      <c r="B348" s="43"/>
      <c r="C348" s="43"/>
      <c r="D348" s="43"/>
      <c r="E348" s="43"/>
      <c r="F348" s="43" t="str">
        <f>IF(B348="Egg Shop","",IF(J348="","",IFERROR(LOOKUP(2,1/(Purchases!$H$3:$H$2002=J348),Purchases!$F$3:$F$2002),"")))</f>
        <v/>
      </c>
      <c r="G348" s="43" t="str">
        <f t="shared" si="23"/>
        <v/>
      </c>
      <c r="H348" s="43" t="str">
        <f t="shared" si="24"/>
        <v/>
      </c>
      <c r="I348" s="43" t="str">
        <f t="shared" si="25"/>
        <v/>
      </c>
      <c r="J348" s="43" t="str">
        <f t="shared" si="26"/>
        <v/>
      </c>
      <c r="K348" s="43" t="str">
        <f t="shared" si="27"/>
        <v/>
      </c>
    </row>
    <row r="349" spans="1:11">
      <c r="A349" s="43"/>
      <c r="B349" s="43"/>
      <c r="C349" s="43"/>
      <c r="D349" s="43"/>
      <c r="E349" s="43"/>
      <c r="F349" s="43" t="str">
        <f>IF(B349="Egg Shop","",IF(J349="","",IFERROR(LOOKUP(2,1/(Purchases!$H$3:$H$2002=J349),Purchases!$F$3:$F$2002),"")))</f>
        <v/>
      </c>
      <c r="G349" s="43" t="str">
        <f t="shared" si="23"/>
        <v/>
      </c>
      <c r="H349" s="43" t="str">
        <f t="shared" si="24"/>
        <v/>
      </c>
      <c r="I349" s="43" t="str">
        <f t="shared" si="25"/>
        <v/>
      </c>
      <c r="J349" s="43" t="str">
        <f t="shared" si="26"/>
        <v/>
      </c>
      <c r="K349" s="43" t="str">
        <f t="shared" si="27"/>
        <v/>
      </c>
    </row>
    <row r="350" spans="1:11">
      <c r="A350" s="43"/>
      <c r="B350" s="43"/>
      <c r="C350" s="43"/>
      <c r="D350" s="43"/>
      <c r="E350" s="43"/>
      <c r="F350" s="43" t="str">
        <f>IF(B350="Egg Shop","",IF(J350="","",IFERROR(LOOKUP(2,1/(Purchases!$H$3:$H$2002=J350),Purchases!$F$3:$F$2002),"")))</f>
        <v/>
      </c>
      <c r="G350" s="43" t="str">
        <f t="shared" si="23"/>
        <v/>
      </c>
      <c r="H350" s="43" t="str">
        <f t="shared" si="24"/>
        <v/>
      </c>
      <c r="I350" s="43" t="str">
        <f t="shared" si="25"/>
        <v/>
      </c>
      <c r="J350" s="43" t="str">
        <f t="shared" si="26"/>
        <v/>
      </c>
      <c r="K350" s="43" t="str">
        <f t="shared" si="27"/>
        <v/>
      </c>
    </row>
    <row r="351" spans="1:11">
      <c r="A351" s="43"/>
      <c r="B351" s="43"/>
      <c r="C351" s="43"/>
      <c r="D351" s="43"/>
      <c r="E351" s="43"/>
      <c r="F351" s="43" t="str">
        <f>IF(B351="Egg Shop","",IF(J351="","",IFERROR(LOOKUP(2,1/(Purchases!$H$3:$H$2002=J351),Purchases!$F$3:$F$2002),"")))</f>
        <v/>
      </c>
      <c r="G351" s="43" t="str">
        <f t="shared" si="23"/>
        <v/>
      </c>
      <c r="H351" s="43" t="str">
        <f t="shared" si="24"/>
        <v/>
      </c>
      <c r="I351" s="43" t="str">
        <f t="shared" si="25"/>
        <v/>
      </c>
      <c r="J351" s="43" t="str">
        <f t="shared" si="26"/>
        <v/>
      </c>
      <c r="K351" s="43" t="str">
        <f t="shared" si="27"/>
        <v/>
      </c>
    </row>
    <row r="352" spans="1:11">
      <c r="A352" s="43"/>
      <c r="B352" s="43"/>
      <c r="C352" s="43"/>
      <c r="D352" s="43"/>
      <c r="E352" s="43"/>
      <c r="F352" s="43" t="str">
        <f>IF(B352="Egg Shop","",IF(J352="","",IFERROR(LOOKUP(2,1/(Purchases!$H$3:$H$2002=J352),Purchases!$F$3:$F$2002),"")))</f>
        <v/>
      </c>
      <c r="G352" s="43" t="str">
        <f t="shared" si="23"/>
        <v/>
      </c>
      <c r="H352" s="43" t="str">
        <f t="shared" si="24"/>
        <v/>
      </c>
      <c r="I352" s="43" t="str">
        <f t="shared" si="25"/>
        <v/>
      </c>
      <c r="J352" s="43" t="str">
        <f t="shared" si="26"/>
        <v/>
      </c>
      <c r="K352" s="43" t="str">
        <f t="shared" si="27"/>
        <v/>
      </c>
    </row>
    <row r="353" spans="1:11">
      <c r="A353" s="43"/>
      <c r="B353" s="43"/>
      <c r="C353" s="43"/>
      <c r="D353" s="43"/>
      <c r="E353" s="43"/>
      <c r="F353" s="43" t="str">
        <f>IF(B353="Egg Shop","",IF(J353="","",IFERROR(LOOKUP(2,1/(Purchases!$H$3:$H$2002=J353),Purchases!$F$3:$F$2002),"")))</f>
        <v/>
      </c>
      <c r="G353" s="43" t="str">
        <f t="shared" si="23"/>
        <v/>
      </c>
      <c r="H353" s="43" t="str">
        <f t="shared" si="24"/>
        <v/>
      </c>
      <c r="I353" s="43" t="str">
        <f t="shared" si="25"/>
        <v/>
      </c>
      <c r="J353" s="43" t="str">
        <f t="shared" si="26"/>
        <v/>
      </c>
      <c r="K353" s="43" t="str">
        <f t="shared" si="27"/>
        <v/>
      </c>
    </row>
    <row r="354" spans="1:11">
      <c r="A354" s="43"/>
      <c r="B354" s="43"/>
      <c r="C354" s="43"/>
      <c r="D354" s="43"/>
      <c r="E354" s="43"/>
      <c r="F354" s="43" t="str">
        <f>IF(B354="Egg Shop","",IF(J354="","",IFERROR(LOOKUP(2,1/(Purchases!$H$3:$H$2002=J354),Purchases!$F$3:$F$2002),"")))</f>
        <v/>
      </c>
      <c r="G354" s="43" t="str">
        <f t="shared" si="23"/>
        <v/>
      </c>
      <c r="H354" s="43" t="str">
        <f t="shared" si="24"/>
        <v/>
      </c>
      <c r="I354" s="43" t="str">
        <f t="shared" si="25"/>
        <v/>
      </c>
      <c r="J354" s="43" t="str">
        <f t="shared" si="26"/>
        <v/>
      </c>
      <c r="K354" s="43" t="str">
        <f t="shared" si="27"/>
        <v/>
      </c>
    </row>
    <row r="355" spans="1:11">
      <c r="A355" s="43"/>
      <c r="B355" s="43"/>
      <c r="C355" s="43"/>
      <c r="D355" s="43"/>
      <c r="E355" s="43"/>
      <c r="F355" s="43" t="str">
        <f>IF(B355="Egg Shop","",IF(J355="","",IFERROR(LOOKUP(2,1/(Purchases!$H$3:$H$2002=J355),Purchases!$F$3:$F$2002),"")))</f>
        <v/>
      </c>
      <c r="G355" s="43" t="str">
        <f t="shared" si="23"/>
        <v/>
      </c>
      <c r="H355" s="43" t="str">
        <f t="shared" si="24"/>
        <v/>
      </c>
      <c r="I355" s="43" t="str">
        <f t="shared" si="25"/>
        <v/>
      </c>
      <c r="J355" s="43" t="str">
        <f t="shared" si="26"/>
        <v/>
      </c>
      <c r="K355" s="43" t="str">
        <f t="shared" si="27"/>
        <v/>
      </c>
    </row>
    <row r="356" spans="1:11">
      <c r="A356" s="43"/>
      <c r="B356" s="43"/>
      <c r="C356" s="43"/>
      <c r="D356" s="43"/>
      <c r="E356" s="43"/>
      <c r="F356" s="43" t="str">
        <f>IF(B356="Egg Shop","",IF(J356="","",IFERROR(LOOKUP(2,1/(Purchases!$H$3:$H$2002=J356),Purchases!$F$3:$F$2002),"")))</f>
        <v/>
      </c>
      <c r="G356" s="43" t="str">
        <f t="shared" si="23"/>
        <v/>
      </c>
      <c r="H356" s="43" t="str">
        <f t="shared" si="24"/>
        <v/>
      </c>
      <c r="I356" s="43" t="str">
        <f t="shared" si="25"/>
        <v/>
      </c>
      <c r="J356" s="43" t="str">
        <f t="shared" si="26"/>
        <v/>
      </c>
      <c r="K356" s="43" t="str">
        <f t="shared" si="27"/>
        <v/>
      </c>
    </row>
    <row r="357" spans="1:11">
      <c r="A357" s="43"/>
      <c r="B357" s="43"/>
      <c r="C357" s="43"/>
      <c r="D357" s="43"/>
      <c r="E357" s="43"/>
      <c r="F357" s="43" t="str">
        <f>IF(B357="Egg Shop","",IF(J357="","",IFERROR(LOOKUP(2,1/(Purchases!$H$3:$H$2002=J357),Purchases!$F$3:$F$2002),"")))</f>
        <v/>
      </c>
      <c r="G357" s="43" t="str">
        <f t="shared" si="23"/>
        <v/>
      </c>
      <c r="H357" s="43" t="str">
        <f t="shared" si="24"/>
        <v/>
      </c>
      <c r="I357" s="43" t="str">
        <f t="shared" si="25"/>
        <v/>
      </c>
      <c r="J357" s="43" t="str">
        <f t="shared" si="26"/>
        <v/>
      </c>
      <c r="K357" s="43" t="str">
        <f t="shared" si="27"/>
        <v/>
      </c>
    </row>
    <row r="358" spans="1:11">
      <c r="A358" s="43"/>
      <c r="B358" s="43"/>
      <c r="C358" s="43"/>
      <c r="D358" s="43"/>
      <c r="E358" s="43"/>
      <c r="F358" s="43" t="str">
        <f>IF(B358="Egg Shop","",IF(J358="","",IFERROR(LOOKUP(2,1/(Purchases!$H$3:$H$2002=J358),Purchases!$F$3:$F$2002),"")))</f>
        <v/>
      </c>
      <c r="G358" s="43" t="str">
        <f t="shared" si="23"/>
        <v/>
      </c>
      <c r="H358" s="43" t="str">
        <f t="shared" si="24"/>
        <v/>
      </c>
      <c r="I358" s="43" t="str">
        <f t="shared" si="25"/>
        <v/>
      </c>
      <c r="J358" s="43" t="str">
        <f t="shared" si="26"/>
        <v/>
      </c>
      <c r="K358" s="43" t="str">
        <f t="shared" si="27"/>
        <v/>
      </c>
    </row>
    <row r="359" spans="1:11">
      <c r="A359" s="43"/>
      <c r="B359" s="43"/>
      <c r="C359" s="43"/>
      <c r="D359" s="43"/>
      <c r="E359" s="43"/>
      <c r="F359" s="43" t="str">
        <f>IF(B359="Egg Shop","",IF(J359="","",IFERROR(LOOKUP(2,1/(Purchases!$H$3:$H$2002=J359),Purchases!$F$3:$F$2002),"")))</f>
        <v/>
      </c>
      <c r="G359" s="43" t="str">
        <f t="shared" si="23"/>
        <v/>
      </c>
      <c r="H359" s="43" t="str">
        <f t="shared" si="24"/>
        <v/>
      </c>
      <c r="I359" s="43" t="str">
        <f t="shared" si="25"/>
        <v/>
      </c>
      <c r="J359" s="43" t="str">
        <f t="shared" si="26"/>
        <v/>
      </c>
      <c r="K359" s="43" t="str">
        <f t="shared" si="27"/>
        <v/>
      </c>
    </row>
    <row r="360" spans="1:11">
      <c r="A360" s="43"/>
      <c r="B360" s="43"/>
      <c r="C360" s="43"/>
      <c r="D360" s="43"/>
      <c r="E360" s="43"/>
      <c r="F360" s="43" t="str">
        <f>IF(B360="Egg Shop","",IF(J360="","",IFERROR(LOOKUP(2,1/(Purchases!$H$3:$H$2002=J360),Purchases!$F$3:$F$2002),"")))</f>
        <v/>
      </c>
      <c r="G360" s="43" t="str">
        <f t="shared" si="23"/>
        <v/>
      </c>
      <c r="H360" s="43" t="str">
        <f t="shared" si="24"/>
        <v/>
      </c>
      <c r="I360" s="43" t="str">
        <f t="shared" si="25"/>
        <v/>
      </c>
      <c r="J360" s="43" t="str">
        <f t="shared" si="26"/>
        <v/>
      </c>
      <c r="K360" s="43" t="str">
        <f t="shared" si="27"/>
        <v/>
      </c>
    </row>
    <row r="361" spans="1:11">
      <c r="A361" s="43"/>
      <c r="B361" s="43"/>
      <c r="C361" s="43"/>
      <c r="D361" s="43"/>
      <c r="E361" s="43"/>
      <c r="F361" s="43" t="str">
        <f>IF(B361="Egg Shop","",IF(J361="","",IFERROR(LOOKUP(2,1/(Purchases!$H$3:$H$2002=J361),Purchases!$F$3:$F$2002),"")))</f>
        <v/>
      </c>
      <c r="G361" s="43" t="str">
        <f t="shared" si="23"/>
        <v/>
      </c>
      <c r="H361" s="43" t="str">
        <f t="shared" si="24"/>
        <v/>
      </c>
      <c r="I361" s="43" t="str">
        <f t="shared" si="25"/>
        <v/>
      </c>
      <c r="J361" s="43" t="str">
        <f t="shared" si="26"/>
        <v/>
      </c>
      <c r="K361" s="43" t="str">
        <f t="shared" si="27"/>
        <v/>
      </c>
    </row>
    <row r="362" spans="1:11">
      <c r="A362" s="43"/>
      <c r="B362" s="43"/>
      <c r="C362" s="43"/>
      <c r="D362" s="43"/>
      <c r="E362" s="43"/>
      <c r="F362" s="43" t="str">
        <f>IF(B362="Egg Shop","",IF(J362="","",IFERROR(LOOKUP(2,1/(Purchases!$H$3:$H$2002=J362),Purchases!$F$3:$F$2002),"")))</f>
        <v/>
      </c>
      <c r="G362" s="43" t="str">
        <f t="shared" si="23"/>
        <v/>
      </c>
      <c r="H362" s="43" t="str">
        <f t="shared" si="24"/>
        <v/>
      </c>
      <c r="I362" s="43" t="str">
        <f t="shared" si="25"/>
        <v/>
      </c>
      <c r="J362" s="43" t="str">
        <f t="shared" si="26"/>
        <v/>
      </c>
      <c r="K362" s="43" t="str">
        <f t="shared" si="27"/>
        <v/>
      </c>
    </row>
    <row r="363" spans="1:11">
      <c r="A363" s="43"/>
      <c r="B363" s="43"/>
      <c r="C363" s="43"/>
      <c r="D363" s="43"/>
      <c r="E363" s="43"/>
      <c r="F363" s="43" t="str">
        <f>IF(B363="Egg Shop","",IF(J363="","",IFERROR(LOOKUP(2,1/(Purchases!$H$3:$H$2002=J363),Purchases!$F$3:$F$2002),"")))</f>
        <v/>
      </c>
      <c r="G363" s="43" t="str">
        <f t="shared" si="23"/>
        <v/>
      </c>
      <c r="H363" s="43" t="str">
        <f t="shared" si="24"/>
        <v/>
      </c>
      <c r="I363" s="43" t="str">
        <f t="shared" si="25"/>
        <v/>
      </c>
      <c r="J363" s="43" t="str">
        <f t="shared" si="26"/>
        <v/>
      </c>
      <c r="K363" s="43" t="str">
        <f t="shared" si="27"/>
        <v/>
      </c>
    </row>
    <row r="364" spans="1:11">
      <c r="A364" s="43"/>
      <c r="B364" s="43"/>
      <c r="C364" s="43"/>
      <c r="D364" s="43"/>
      <c r="E364" s="43"/>
      <c r="F364" s="43" t="str">
        <f>IF(B364="Egg Shop","",IF(J364="","",IFERROR(LOOKUP(2,1/(Purchases!$H$3:$H$2002=J364),Purchases!$F$3:$F$2002),"")))</f>
        <v/>
      </c>
      <c r="G364" s="43" t="str">
        <f t="shared" si="23"/>
        <v/>
      </c>
      <c r="H364" s="43" t="str">
        <f t="shared" si="24"/>
        <v/>
      </c>
      <c r="I364" s="43" t="str">
        <f t="shared" si="25"/>
        <v/>
      </c>
      <c r="J364" s="43" t="str">
        <f t="shared" si="26"/>
        <v/>
      </c>
      <c r="K364" s="43" t="str">
        <f t="shared" si="27"/>
        <v/>
      </c>
    </row>
    <row r="365" spans="1:11">
      <c r="A365" s="43"/>
      <c r="B365" s="43"/>
      <c r="C365" s="43"/>
      <c r="D365" s="43"/>
      <c r="E365" s="43"/>
      <c r="F365" s="43" t="str">
        <f>IF(B365="Egg Shop","",IF(J365="","",IFERROR(LOOKUP(2,1/(Purchases!$H$3:$H$2002=J365),Purchases!$F$3:$F$2002),"")))</f>
        <v/>
      </c>
      <c r="G365" s="43" t="str">
        <f t="shared" si="23"/>
        <v/>
      </c>
      <c r="H365" s="43" t="str">
        <f t="shared" si="24"/>
        <v/>
      </c>
      <c r="I365" s="43" t="str">
        <f t="shared" si="25"/>
        <v/>
      </c>
      <c r="J365" s="43" t="str">
        <f t="shared" si="26"/>
        <v/>
      </c>
      <c r="K365" s="43" t="str">
        <f t="shared" si="27"/>
        <v/>
      </c>
    </row>
    <row r="366" spans="1:11">
      <c r="A366" s="43"/>
      <c r="B366" s="43"/>
      <c r="C366" s="43"/>
      <c r="D366" s="43"/>
      <c r="E366" s="43"/>
      <c r="F366" s="43" t="str">
        <f>IF(B366="Egg Shop","",IF(J366="","",IFERROR(LOOKUP(2,1/(Purchases!$H$3:$H$2002=J366),Purchases!$F$3:$F$2002),"")))</f>
        <v/>
      </c>
      <c r="G366" s="43" t="str">
        <f t="shared" si="23"/>
        <v/>
      </c>
      <c r="H366" s="43" t="str">
        <f t="shared" si="24"/>
        <v/>
      </c>
      <c r="I366" s="43" t="str">
        <f t="shared" si="25"/>
        <v/>
      </c>
      <c r="J366" s="43" t="str">
        <f t="shared" si="26"/>
        <v/>
      </c>
      <c r="K366" s="43" t="str">
        <f t="shared" si="27"/>
        <v/>
      </c>
    </row>
    <row r="367" spans="1:11">
      <c r="A367" s="43"/>
      <c r="B367" s="43"/>
      <c r="C367" s="43"/>
      <c r="D367" s="43"/>
      <c r="E367" s="43"/>
      <c r="F367" s="43" t="str">
        <f>IF(B367="Egg Shop","",IF(J367="","",IFERROR(LOOKUP(2,1/(Purchases!$H$3:$H$2002=J367),Purchases!$F$3:$F$2002),"")))</f>
        <v/>
      </c>
      <c r="G367" s="43" t="str">
        <f t="shared" si="23"/>
        <v/>
      </c>
      <c r="H367" s="43" t="str">
        <f t="shared" si="24"/>
        <v/>
      </c>
      <c r="I367" s="43" t="str">
        <f t="shared" si="25"/>
        <v/>
      </c>
      <c r="J367" s="43" t="str">
        <f t="shared" si="26"/>
        <v/>
      </c>
      <c r="K367" s="43" t="str">
        <f t="shared" si="27"/>
        <v/>
      </c>
    </row>
    <row r="368" spans="1:11">
      <c r="A368" s="43"/>
      <c r="B368" s="43"/>
      <c r="C368" s="43"/>
      <c r="D368" s="43"/>
      <c r="E368" s="43"/>
      <c r="F368" s="43" t="str">
        <f>IF(B368="Egg Shop","",IF(J368="","",IFERROR(LOOKUP(2,1/(Purchases!$H$3:$H$2002=J368),Purchases!$F$3:$F$2002),"")))</f>
        <v/>
      </c>
      <c r="G368" s="43" t="str">
        <f t="shared" si="23"/>
        <v/>
      </c>
      <c r="H368" s="43" t="str">
        <f t="shared" si="24"/>
        <v/>
      </c>
      <c r="I368" s="43" t="str">
        <f t="shared" si="25"/>
        <v/>
      </c>
      <c r="J368" s="43" t="str">
        <f t="shared" si="26"/>
        <v/>
      </c>
      <c r="K368" s="43" t="str">
        <f t="shared" si="27"/>
        <v/>
      </c>
    </row>
    <row r="369" spans="1:11">
      <c r="A369" s="43"/>
      <c r="B369" s="43"/>
      <c r="C369" s="43"/>
      <c r="D369" s="43"/>
      <c r="E369" s="43"/>
      <c r="F369" s="43" t="str">
        <f>IF(B369="Egg Shop","",IF(J369="","",IFERROR(LOOKUP(2,1/(Purchases!$H$3:$H$2002=J369),Purchases!$F$3:$F$2002),"")))</f>
        <v/>
      </c>
      <c r="G369" s="43" t="str">
        <f t="shared" si="23"/>
        <v/>
      </c>
      <c r="H369" s="43" t="str">
        <f t="shared" si="24"/>
        <v/>
      </c>
      <c r="I369" s="43" t="str">
        <f t="shared" si="25"/>
        <v/>
      </c>
      <c r="J369" s="43" t="str">
        <f t="shared" si="26"/>
        <v/>
      </c>
      <c r="K369" s="43" t="str">
        <f t="shared" si="27"/>
        <v/>
      </c>
    </row>
    <row r="370" spans="1:11">
      <c r="A370" s="43"/>
      <c r="B370" s="43"/>
      <c r="C370" s="43"/>
      <c r="D370" s="43"/>
      <c r="E370" s="43"/>
      <c r="F370" s="43" t="str">
        <f>IF(B370="Egg Shop","",IF(J370="","",IFERROR(LOOKUP(2,1/(Purchases!$H$3:$H$2002=J370),Purchases!$F$3:$F$2002),"")))</f>
        <v/>
      </c>
      <c r="G370" s="43" t="str">
        <f t="shared" si="23"/>
        <v/>
      </c>
      <c r="H370" s="43" t="str">
        <f t="shared" si="24"/>
        <v/>
      </c>
      <c r="I370" s="43" t="str">
        <f t="shared" si="25"/>
        <v/>
      </c>
      <c r="J370" s="43" t="str">
        <f t="shared" si="26"/>
        <v/>
      </c>
      <c r="K370" s="43" t="str">
        <f t="shared" si="27"/>
        <v/>
      </c>
    </row>
    <row r="371" spans="1:11">
      <c r="A371" s="43"/>
      <c r="B371" s="43"/>
      <c r="C371" s="43"/>
      <c r="D371" s="43"/>
      <c r="E371" s="43"/>
      <c r="F371" s="43" t="str">
        <f>IF(B371="Egg Shop","",IF(J371="","",IFERROR(LOOKUP(2,1/(Purchases!$H$3:$H$2002=J371),Purchases!$F$3:$F$2002),"")))</f>
        <v/>
      </c>
      <c r="G371" s="43" t="str">
        <f t="shared" si="23"/>
        <v/>
      </c>
      <c r="H371" s="43" t="str">
        <f t="shared" si="24"/>
        <v/>
      </c>
      <c r="I371" s="43" t="str">
        <f t="shared" si="25"/>
        <v/>
      </c>
      <c r="J371" s="43" t="str">
        <f t="shared" si="26"/>
        <v/>
      </c>
      <c r="K371" s="43" t="str">
        <f t="shared" si="27"/>
        <v/>
      </c>
    </row>
    <row r="372" spans="1:11">
      <c r="A372" s="43"/>
      <c r="B372" s="43"/>
      <c r="C372" s="43"/>
      <c r="D372" s="43"/>
      <c r="E372" s="43"/>
      <c r="F372" s="43" t="str">
        <f>IF(B372="Egg Shop","",IF(J372="","",IFERROR(LOOKUP(2,1/(Purchases!$H$3:$H$2002=J372),Purchases!$F$3:$F$2002),"")))</f>
        <v/>
      </c>
      <c r="G372" s="43" t="str">
        <f t="shared" si="23"/>
        <v/>
      </c>
      <c r="H372" s="43" t="str">
        <f t="shared" si="24"/>
        <v/>
      </c>
      <c r="I372" s="43" t="str">
        <f t="shared" si="25"/>
        <v/>
      </c>
      <c r="J372" s="43" t="str">
        <f t="shared" si="26"/>
        <v/>
      </c>
      <c r="K372" s="43" t="str">
        <f t="shared" si="27"/>
        <v/>
      </c>
    </row>
    <row r="373" spans="1:11">
      <c r="A373" s="43"/>
      <c r="B373" s="43"/>
      <c r="C373" s="43"/>
      <c r="D373" s="43"/>
      <c r="E373" s="43"/>
      <c r="F373" s="43" t="str">
        <f>IF(B373="Egg Shop","",IF(J373="","",IFERROR(LOOKUP(2,1/(Purchases!$H$3:$H$2002=J373),Purchases!$F$3:$F$2002),"")))</f>
        <v/>
      </c>
      <c r="G373" s="43" t="str">
        <f t="shared" si="23"/>
        <v/>
      </c>
      <c r="H373" s="43" t="str">
        <f t="shared" si="24"/>
        <v/>
      </c>
      <c r="I373" s="43" t="str">
        <f t="shared" si="25"/>
        <v/>
      </c>
      <c r="J373" s="43" t="str">
        <f t="shared" si="26"/>
        <v/>
      </c>
      <c r="K373" s="43" t="str">
        <f t="shared" si="27"/>
        <v/>
      </c>
    </row>
    <row r="374" spans="1:11">
      <c r="A374" s="43"/>
      <c r="B374" s="43"/>
      <c r="C374" s="43"/>
      <c r="D374" s="43"/>
      <c r="E374" s="43"/>
      <c r="F374" s="43" t="str">
        <f>IF(B374="Egg Shop","",IF(J374="","",IFERROR(LOOKUP(2,1/(Purchases!$H$3:$H$2002=J374),Purchases!$F$3:$F$2002),"")))</f>
        <v/>
      </c>
      <c r="G374" s="43" t="str">
        <f t="shared" si="23"/>
        <v/>
      </c>
      <c r="H374" s="43" t="str">
        <f t="shared" si="24"/>
        <v/>
      </c>
      <c r="I374" s="43" t="str">
        <f t="shared" si="25"/>
        <v/>
      </c>
      <c r="J374" s="43" t="str">
        <f t="shared" si="26"/>
        <v/>
      </c>
      <c r="K374" s="43" t="str">
        <f t="shared" si="27"/>
        <v/>
      </c>
    </row>
    <row r="375" spans="1:11">
      <c r="A375" s="43"/>
      <c r="B375" s="43"/>
      <c r="C375" s="43"/>
      <c r="D375" s="43"/>
      <c r="E375" s="43"/>
      <c r="F375" s="43" t="str">
        <f>IF(B375="Egg Shop","",IF(J375="","",IFERROR(LOOKUP(2,1/(Purchases!$H$3:$H$2002=J375),Purchases!$F$3:$F$2002),"")))</f>
        <v/>
      </c>
      <c r="G375" s="43" t="str">
        <f t="shared" si="23"/>
        <v/>
      </c>
      <c r="H375" s="43" t="str">
        <f t="shared" si="24"/>
        <v/>
      </c>
      <c r="I375" s="43" t="str">
        <f t="shared" si="25"/>
        <v/>
      </c>
      <c r="J375" s="43" t="str">
        <f t="shared" si="26"/>
        <v/>
      </c>
      <c r="K375" s="43" t="str">
        <f t="shared" si="27"/>
        <v/>
      </c>
    </row>
    <row r="376" spans="1:11">
      <c r="A376" s="43"/>
      <c r="B376" s="43"/>
      <c r="C376" s="43"/>
      <c r="D376" s="43"/>
      <c r="E376" s="43"/>
      <c r="F376" s="43" t="str">
        <f>IF(B376="Egg Shop","",IF(J376="","",IFERROR(LOOKUP(2,1/(Purchases!$H$3:$H$2002=J376),Purchases!$F$3:$F$2002),"")))</f>
        <v/>
      </c>
      <c r="G376" s="43" t="str">
        <f t="shared" si="23"/>
        <v/>
      </c>
      <c r="H376" s="43" t="str">
        <f t="shared" si="24"/>
        <v/>
      </c>
      <c r="I376" s="43" t="str">
        <f t="shared" si="25"/>
        <v/>
      </c>
      <c r="J376" s="43" t="str">
        <f t="shared" si="26"/>
        <v/>
      </c>
      <c r="K376" s="43" t="str">
        <f t="shared" si="27"/>
        <v/>
      </c>
    </row>
    <row r="377" spans="1:11">
      <c r="A377" s="43"/>
      <c r="B377" s="43"/>
      <c r="C377" s="43"/>
      <c r="D377" s="43"/>
      <c r="E377" s="43"/>
      <c r="F377" s="43" t="str">
        <f>IF(B377="Egg Shop","",IF(J377="","",IFERROR(LOOKUP(2,1/(Purchases!$H$3:$H$2002=J377),Purchases!$F$3:$F$2002),"")))</f>
        <v/>
      </c>
      <c r="G377" s="43" t="str">
        <f t="shared" si="23"/>
        <v/>
      </c>
      <c r="H377" s="43" t="str">
        <f t="shared" si="24"/>
        <v/>
      </c>
      <c r="I377" s="43" t="str">
        <f t="shared" si="25"/>
        <v/>
      </c>
      <c r="J377" s="43" t="str">
        <f t="shared" si="26"/>
        <v/>
      </c>
      <c r="K377" s="43" t="str">
        <f t="shared" si="27"/>
        <v/>
      </c>
    </row>
    <row r="378" spans="1:11">
      <c r="A378" s="43"/>
      <c r="B378" s="43"/>
      <c r="C378" s="43"/>
      <c r="D378" s="43"/>
      <c r="E378" s="43"/>
      <c r="F378" s="43" t="str">
        <f>IF(B378="Egg Shop","",IF(J378="","",IFERROR(LOOKUP(2,1/(Purchases!$H$3:$H$2002=J378),Purchases!$F$3:$F$2002),"")))</f>
        <v/>
      </c>
      <c r="G378" s="43" t="str">
        <f t="shared" si="23"/>
        <v/>
      </c>
      <c r="H378" s="43" t="str">
        <f t="shared" si="24"/>
        <v/>
      </c>
      <c r="I378" s="43" t="str">
        <f t="shared" si="25"/>
        <v/>
      </c>
      <c r="J378" s="43" t="str">
        <f t="shared" si="26"/>
        <v/>
      </c>
      <c r="K378" s="43" t="str">
        <f t="shared" si="27"/>
        <v/>
      </c>
    </row>
    <row r="379" spans="1:11">
      <c r="A379" s="43"/>
      <c r="B379" s="43"/>
      <c r="C379" s="43"/>
      <c r="D379" s="43"/>
      <c r="E379" s="43"/>
      <c r="F379" s="43" t="str">
        <f>IF(B379="Egg Shop","",IF(J379="","",IFERROR(LOOKUP(2,1/(Purchases!$H$3:$H$2002=J379),Purchases!$F$3:$F$2002),"")))</f>
        <v/>
      </c>
      <c r="G379" s="43" t="str">
        <f t="shared" si="23"/>
        <v/>
      </c>
      <c r="H379" s="43" t="str">
        <f t="shared" si="24"/>
        <v/>
      </c>
      <c r="I379" s="43" t="str">
        <f t="shared" si="25"/>
        <v/>
      </c>
      <c r="J379" s="43" t="str">
        <f t="shared" si="26"/>
        <v/>
      </c>
      <c r="K379" s="43" t="str">
        <f t="shared" si="27"/>
        <v/>
      </c>
    </row>
    <row r="380" spans="1:11">
      <c r="A380" s="43"/>
      <c r="B380" s="43"/>
      <c r="C380" s="43"/>
      <c r="D380" s="43"/>
      <c r="E380" s="43"/>
      <c r="F380" s="43" t="str">
        <f>IF(B380="Egg Shop","",IF(J380="","",IFERROR(LOOKUP(2,1/(Purchases!$H$3:$H$2002=J380),Purchases!$F$3:$F$2002),"")))</f>
        <v/>
      </c>
      <c r="G380" s="43" t="str">
        <f t="shared" si="23"/>
        <v/>
      </c>
      <c r="H380" s="43" t="str">
        <f t="shared" si="24"/>
        <v/>
      </c>
      <c r="I380" s="43" t="str">
        <f t="shared" si="25"/>
        <v/>
      </c>
      <c r="J380" s="43" t="str">
        <f t="shared" si="26"/>
        <v/>
      </c>
      <c r="K380" s="43" t="str">
        <f t="shared" si="27"/>
        <v/>
      </c>
    </row>
    <row r="381" spans="1:11">
      <c r="A381" s="43"/>
      <c r="B381" s="43"/>
      <c r="C381" s="43"/>
      <c r="D381" s="43"/>
      <c r="E381" s="43"/>
      <c r="F381" s="43" t="str">
        <f>IF(B381="Egg Shop","",IF(J381="","",IFERROR(LOOKUP(2,1/(Purchases!$H$3:$H$2002=J381),Purchases!$F$3:$F$2002),"")))</f>
        <v/>
      </c>
      <c r="G381" s="43" t="str">
        <f t="shared" si="23"/>
        <v/>
      </c>
      <c r="H381" s="43" t="str">
        <f t="shared" si="24"/>
        <v/>
      </c>
      <c r="I381" s="43" t="str">
        <f t="shared" si="25"/>
        <v/>
      </c>
      <c r="J381" s="43" t="str">
        <f t="shared" si="26"/>
        <v/>
      </c>
      <c r="K381" s="43" t="str">
        <f t="shared" si="27"/>
        <v/>
      </c>
    </row>
    <row r="382" spans="1:11">
      <c r="A382" s="43"/>
      <c r="B382" s="43"/>
      <c r="C382" s="43"/>
      <c r="D382" s="43"/>
      <c r="E382" s="43"/>
      <c r="F382" s="43" t="str">
        <f>IF(B382="Egg Shop","",IF(J382="","",IFERROR(LOOKUP(2,1/(Purchases!$H$3:$H$2002=J382),Purchases!$F$3:$F$2002),"")))</f>
        <v/>
      </c>
      <c r="G382" s="43" t="str">
        <f t="shared" si="23"/>
        <v/>
      </c>
      <c r="H382" s="43" t="str">
        <f t="shared" si="24"/>
        <v/>
      </c>
      <c r="I382" s="43" t="str">
        <f t="shared" si="25"/>
        <v/>
      </c>
      <c r="J382" s="43" t="str">
        <f t="shared" si="26"/>
        <v/>
      </c>
      <c r="K382" s="43" t="str">
        <f t="shared" si="27"/>
        <v/>
      </c>
    </row>
    <row r="383" spans="1:11">
      <c r="A383" s="43"/>
      <c r="B383" s="43"/>
      <c r="C383" s="43"/>
      <c r="D383" s="43"/>
      <c r="E383" s="43"/>
      <c r="F383" s="43" t="str">
        <f>IF(B383="Egg Shop","",IF(J383="","",IFERROR(LOOKUP(2,1/(Purchases!$H$3:$H$2002=J383),Purchases!$F$3:$F$2002),"")))</f>
        <v/>
      </c>
      <c r="G383" s="43" t="str">
        <f t="shared" si="23"/>
        <v/>
      </c>
      <c r="H383" s="43" t="str">
        <f t="shared" si="24"/>
        <v/>
      </c>
      <c r="I383" s="43" t="str">
        <f t="shared" si="25"/>
        <v/>
      </c>
      <c r="J383" s="43" t="str">
        <f t="shared" si="26"/>
        <v/>
      </c>
      <c r="K383" s="43" t="str">
        <f t="shared" si="27"/>
        <v/>
      </c>
    </row>
    <row r="384" spans="1:11">
      <c r="A384" s="43"/>
      <c r="B384" s="43"/>
      <c r="C384" s="43"/>
      <c r="D384" s="43"/>
      <c r="E384" s="43"/>
      <c r="F384" s="43" t="str">
        <f>IF(B384="Egg Shop","",IF(J384="","",IFERROR(LOOKUP(2,1/(Purchases!$H$3:$H$2002=J384),Purchases!$F$3:$F$2002),"")))</f>
        <v/>
      </c>
      <c r="G384" s="43" t="str">
        <f t="shared" si="23"/>
        <v/>
      </c>
      <c r="H384" s="43" t="str">
        <f t="shared" si="24"/>
        <v/>
      </c>
      <c r="I384" s="43" t="str">
        <f t="shared" si="25"/>
        <v/>
      </c>
      <c r="J384" s="43" t="str">
        <f t="shared" si="26"/>
        <v/>
      </c>
      <c r="K384" s="43" t="str">
        <f t="shared" si="27"/>
        <v/>
      </c>
    </row>
    <row r="385" spans="1:11">
      <c r="A385" s="43"/>
      <c r="B385" s="43"/>
      <c r="C385" s="43"/>
      <c r="D385" s="43"/>
      <c r="E385" s="43"/>
      <c r="F385" s="43" t="str">
        <f>IF(B385="Egg Shop","",IF(J385="","",IFERROR(LOOKUP(2,1/(Purchases!$H$3:$H$2002=J385),Purchases!$F$3:$F$2002),"")))</f>
        <v/>
      </c>
      <c r="G385" s="43" t="str">
        <f t="shared" si="23"/>
        <v/>
      </c>
      <c r="H385" s="43" t="str">
        <f t="shared" si="24"/>
        <v/>
      </c>
      <c r="I385" s="43" t="str">
        <f t="shared" si="25"/>
        <v/>
      </c>
      <c r="J385" s="43" t="str">
        <f t="shared" si="26"/>
        <v/>
      </c>
      <c r="K385" s="43" t="str">
        <f t="shared" si="27"/>
        <v/>
      </c>
    </row>
    <row r="386" spans="1:11">
      <c r="A386" s="43"/>
      <c r="B386" s="43"/>
      <c r="C386" s="43"/>
      <c r="D386" s="43"/>
      <c r="E386" s="43"/>
      <c r="F386" s="43" t="str">
        <f>IF(B386="Egg Shop","",IF(J386="","",IFERROR(LOOKUP(2,1/(Purchases!$H$3:$H$2002=J386),Purchases!$F$3:$F$2002),"")))</f>
        <v/>
      </c>
      <c r="G386" s="43" t="str">
        <f t="shared" si="23"/>
        <v/>
      </c>
      <c r="H386" s="43" t="str">
        <f t="shared" si="24"/>
        <v/>
      </c>
      <c r="I386" s="43" t="str">
        <f t="shared" si="25"/>
        <v/>
      </c>
      <c r="J386" s="43" t="str">
        <f t="shared" si="26"/>
        <v/>
      </c>
      <c r="K386" s="43" t="str">
        <f t="shared" si="27"/>
        <v/>
      </c>
    </row>
    <row r="387" spans="1:11">
      <c r="A387" s="43"/>
      <c r="B387" s="43"/>
      <c r="C387" s="43"/>
      <c r="D387" s="43"/>
      <c r="E387" s="43"/>
      <c r="F387" s="43" t="str">
        <f>IF(B387="Egg Shop","",IF(J387="","",IFERROR(LOOKUP(2,1/(Purchases!$H$3:$H$2002=J387),Purchases!$F$3:$F$2002),"")))</f>
        <v/>
      </c>
      <c r="G387" s="43" t="str">
        <f t="shared" ref="G387:G450" si="28">IF(OR(D387="",E387=""),"",D387*E387)</f>
        <v/>
      </c>
      <c r="H387" s="43" t="str">
        <f t="shared" ref="H387:H450" si="29">IF(OR(D387="",F387=""),"",D387*F387)</f>
        <v/>
      </c>
      <c r="I387" s="43" t="str">
        <f t="shared" ref="I387:I450" si="30">IF(OR(G387="",H387=""),"",G387-H387)</f>
        <v/>
      </c>
      <c r="J387" s="43" t="str">
        <f t="shared" ref="J387:J450" si="31">IF(OR(B387="",C387=""),"",B387&amp;"|"&amp;C387)</f>
        <v/>
      </c>
      <c r="K387" s="43" t="str">
        <f t="shared" si="27"/>
        <v/>
      </c>
    </row>
    <row r="388" spans="1:11">
      <c r="A388" s="43"/>
      <c r="B388" s="43"/>
      <c r="C388" s="43"/>
      <c r="D388" s="43"/>
      <c r="E388" s="43"/>
      <c r="F388" s="43" t="str">
        <f>IF(B388="Egg Shop","",IF(J388="","",IFERROR(LOOKUP(2,1/(Purchases!$H$3:$H$2002=J388),Purchases!$F$3:$F$2002),"")))</f>
        <v/>
      </c>
      <c r="G388" s="43" t="str">
        <f t="shared" si="28"/>
        <v/>
      </c>
      <c r="H388" s="43" t="str">
        <f t="shared" si="29"/>
        <v/>
      </c>
      <c r="I388" s="43" t="str">
        <f t="shared" si="30"/>
        <v/>
      </c>
      <c r="J388" s="43" t="str">
        <f t="shared" si="31"/>
        <v/>
      </c>
      <c r="K388" s="43" t="str">
        <f t="shared" si="27"/>
        <v/>
      </c>
    </row>
    <row r="389" spans="1:11">
      <c r="A389" s="43"/>
      <c r="B389" s="43"/>
      <c r="C389" s="43"/>
      <c r="D389" s="43"/>
      <c r="E389" s="43"/>
      <c r="F389" s="43" t="str">
        <f>IF(B389="Egg Shop","",IF(J389="","",IFERROR(LOOKUP(2,1/(Purchases!$H$3:$H$2002=J389),Purchases!$F$3:$F$2002),"")))</f>
        <v/>
      </c>
      <c r="G389" s="43" t="str">
        <f t="shared" si="28"/>
        <v/>
      </c>
      <c r="H389" s="43" t="str">
        <f t="shared" si="29"/>
        <v/>
      </c>
      <c r="I389" s="43" t="str">
        <f t="shared" si="30"/>
        <v/>
      </c>
      <c r="J389" s="43" t="str">
        <f t="shared" si="31"/>
        <v/>
      </c>
      <c r="K389" s="43" t="str">
        <f t="shared" si="27"/>
        <v/>
      </c>
    </row>
    <row r="390" spans="1:11">
      <c r="A390" s="43"/>
      <c r="B390" s="43"/>
      <c r="C390" s="43"/>
      <c r="D390" s="43"/>
      <c r="E390" s="43"/>
      <c r="F390" s="43" t="str">
        <f>IF(B390="Egg Shop","",IF(J390="","",IFERROR(LOOKUP(2,1/(Purchases!$H$3:$H$2002=J390),Purchases!$F$3:$F$2002),"")))</f>
        <v/>
      </c>
      <c r="G390" s="43" t="str">
        <f t="shared" si="28"/>
        <v/>
      </c>
      <c r="H390" s="43" t="str">
        <f t="shared" si="29"/>
        <v/>
      </c>
      <c r="I390" s="43" t="str">
        <f t="shared" si="30"/>
        <v/>
      </c>
      <c r="J390" s="43" t="str">
        <f t="shared" si="31"/>
        <v/>
      </c>
      <c r="K390" s="43" t="str">
        <f t="shared" si="27"/>
        <v/>
      </c>
    </row>
    <row r="391" spans="1:11">
      <c r="A391" s="43"/>
      <c r="B391" s="43"/>
      <c r="C391" s="43"/>
      <c r="D391" s="43"/>
      <c r="E391" s="43"/>
      <c r="F391" s="43" t="str">
        <f>IF(B391="Egg Shop","",IF(J391="","",IFERROR(LOOKUP(2,1/(Purchases!$H$3:$H$2002=J391),Purchases!$F$3:$F$2002),"")))</f>
        <v/>
      </c>
      <c r="G391" s="43" t="str">
        <f t="shared" si="28"/>
        <v/>
      </c>
      <c r="H391" s="43" t="str">
        <f t="shared" si="29"/>
        <v/>
      </c>
      <c r="I391" s="43" t="str">
        <f t="shared" si="30"/>
        <v/>
      </c>
      <c r="J391" s="43" t="str">
        <f t="shared" si="31"/>
        <v/>
      </c>
      <c r="K391" s="43" t="str">
        <f t="shared" si="27"/>
        <v/>
      </c>
    </row>
    <row r="392" spans="1:11">
      <c r="A392" s="43"/>
      <c r="B392" s="43"/>
      <c r="C392" s="43"/>
      <c r="D392" s="43"/>
      <c r="E392" s="43"/>
      <c r="F392" s="43" t="str">
        <f>IF(B392="Egg Shop","",IF(J392="","",IFERROR(LOOKUP(2,1/(Purchases!$H$3:$H$2002=J392),Purchases!$F$3:$F$2002),"")))</f>
        <v/>
      </c>
      <c r="G392" s="43" t="str">
        <f t="shared" si="28"/>
        <v/>
      </c>
      <c r="H392" s="43" t="str">
        <f t="shared" si="29"/>
        <v/>
      </c>
      <c r="I392" s="43" t="str">
        <f t="shared" si="30"/>
        <v/>
      </c>
      <c r="J392" s="43" t="str">
        <f t="shared" si="31"/>
        <v/>
      </c>
      <c r="K392" s="43" t="str">
        <f t="shared" si="27"/>
        <v/>
      </c>
    </row>
    <row r="393" spans="1:11">
      <c r="A393" s="43"/>
      <c r="B393" s="43"/>
      <c r="C393" s="43"/>
      <c r="D393" s="43"/>
      <c r="E393" s="43"/>
      <c r="F393" s="43" t="str">
        <f>IF(B393="Egg Shop","",IF(J393="","",IFERROR(LOOKUP(2,1/(Purchases!$H$3:$H$2002=J393),Purchases!$F$3:$F$2002),"")))</f>
        <v/>
      </c>
      <c r="G393" s="43" t="str">
        <f t="shared" si="28"/>
        <v/>
      </c>
      <c r="H393" s="43" t="str">
        <f t="shared" si="29"/>
        <v/>
      </c>
      <c r="I393" s="43" t="str">
        <f t="shared" si="30"/>
        <v/>
      </c>
      <c r="J393" s="43" t="str">
        <f t="shared" si="31"/>
        <v/>
      </c>
      <c r="K393" s="43" t="str">
        <f t="shared" si="27"/>
        <v/>
      </c>
    </row>
    <row r="394" spans="1:11">
      <c r="A394" s="43"/>
      <c r="B394" s="43"/>
      <c r="C394" s="43"/>
      <c r="D394" s="43"/>
      <c r="E394" s="43"/>
      <c r="F394" s="43" t="str">
        <f>IF(B394="Egg Shop","",IF(J394="","",IFERROR(LOOKUP(2,1/(Purchases!$H$3:$H$2002=J394),Purchases!$F$3:$F$2002),"")))</f>
        <v/>
      </c>
      <c r="G394" s="43" t="str">
        <f t="shared" si="28"/>
        <v/>
      </c>
      <c r="H394" s="43" t="str">
        <f t="shared" si="29"/>
        <v/>
      </c>
      <c r="I394" s="43" t="str">
        <f t="shared" si="30"/>
        <v/>
      </c>
      <c r="J394" s="43" t="str">
        <f t="shared" si="31"/>
        <v/>
      </c>
      <c r="K394" s="43" t="str">
        <f t="shared" si="27"/>
        <v/>
      </c>
    </row>
    <row r="395" spans="1:11">
      <c r="A395" s="43"/>
      <c r="B395" s="43"/>
      <c r="C395" s="43"/>
      <c r="D395" s="43"/>
      <c r="E395" s="43"/>
      <c r="F395" s="43" t="str">
        <f>IF(B395="Egg Shop","",IF(J395="","",IFERROR(LOOKUP(2,1/(Purchases!$H$3:$H$2002=J395),Purchases!$F$3:$F$2002),"")))</f>
        <v/>
      </c>
      <c r="G395" s="43" t="str">
        <f t="shared" si="28"/>
        <v/>
      </c>
      <c r="H395" s="43" t="str">
        <f t="shared" si="29"/>
        <v/>
      </c>
      <c r="I395" s="43" t="str">
        <f t="shared" si="30"/>
        <v/>
      </c>
      <c r="J395" s="43" t="str">
        <f t="shared" si="31"/>
        <v/>
      </c>
      <c r="K395" s="43" t="str">
        <f t="shared" si="27"/>
        <v/>
      </c>
    </row>
    <row r="396" spans="1:11">
      <c r="A396" s="43"/>
      <c r="B396" s="43"/>
      <c r="C396" s="43"/>
      <c r="D396" s="43"/>
      <c r="E396" s="43"/>
      <c r="F396" s="43" t="str">
        <f>IF(B396="Egg Shop","",IF(J396="","",IFERROR(LOOKUP(2,1/(Purchases!$H$3:$H$2002=J396),Purchases!$F$3:$F$2002),"")))</f>
        <v/>
      </c>
      <c r="G396" s="43" t="str">
        <f t="shared" si="28"/>
        <v/>
      </c>
      <c r="H396" s="43" t="str">
        <f t="shared" si="29"/>
        <v/>
      </c>
      <c r="I396" s="43" t="str">
        <f t="shared" si="30"/>
        <v/>
      </c>
      <c r="J396" s="43" t="str">
        <f t="shared" si="31"/>
        <v/>
      </c>
      <c r="K396" s="43" t="str">
        <f t="shared" si="27"/>
        <v/>
      </c>
    </row>
    <row r="397" spans="1:11">
      <c r="A397" s="43"/>
      <c r="B397" s="43"/>
      <c r="C397" s="43"/>
      <c r="D397" s="43"/>
      <c r="E397" s="43"/>
      <c r="F397" s="43" t="str">
        <f>IF(B397="Egg Shop","",IF(J397="","",IFERROR(LOOKUP(2,1/(Purchases!$H$3:$H$2002=J397),Purchases!$F$3:$F$2002),"")))</f>
        <v/>
      </c>
      <c r="G397" s="43" t="str">
        <f t="shared" si="28"/>
        <v/>
      </c>
      <c r="H397" s="43" t="str">
        <f t="shared" si="29"/>
        <v/>
      </c>
      <c r="I397" s="43" t="str">
        <f t="shared" si="30"/>
        <v/>
      </c>
      <c r="J397" s="43" t="str">
        <f t="shared" si="31"/>
        <v/>
      </c>
      <c r="K397" s="43" t="str">
        <f t="shared" si="27"/>
        <v/>
      </c>
    </row>
    <row r="398" spans="1:11">
      <c r="A398" s="43"/>
      <c r="B398" s="43"/>
      <c r="C398" s="43"/>
      <c r="D398" s="43"/>
      <c r="E398" s="43"/>
      <c r="F398" s="43" t="str">
        <f>IF(B398="Egg Shop","",IF(J398="","",IFERROR(LOOKUP(2,1/(Purchases!$H$3:$H$2002=J398),Purchases!$F$3:$F$2002),"")))</f>
        <v/>
      </c>
      <c r="G398" s="43" t="str">
        <f t="shared" si="28"/>
        <v/>
      </c>
      <c r="H398" s="43" t="str">
        <f t="shared" si="29"/>
        <v/>
      </c>
      <c r="I398" s="43" t="str">
        <f t="shared" si="30"/>
        <v/>
      </c>
      <c r="J398" s="43" t="str">
        <f t="shared" si="31"/>
        <v/>
      </c>
      <c r="K398" s="43" t="str">
        <f t="shared" si="27"/>
        <v/>
      </c>
    </row>
    <row r="399" spans="1:11">
      <c r="A399" s="43"/>
      <c r="B399" s="43"/>
      <c r="C399" s="43"/>
      <c r="D399" s="43"/>
      <c r="E399" s="43"/>
      <c r="F399" s="43" t="str">
        <f>IF(B399="Egg Shop","",IF(J399="","",IFERROR(LOOKUP(2,1/(Purchases!$H$3:$H$2002=J399),Purchases!$F$3:$F$2002),"")))</f>
        <v/>
      </c>
      <c r="G399" s="43" t="str">
        <f t="shared" si="28"/>
        <v/>
      </c>
      <c r="H399" s="43" t="str">
        <f t="shared" si="29"/>
        <v/>
      </c>
      <c r="I399" s="43" t="str">
        <f t="shared" si="30"/>
        <v/>
      </c>
      <c r="J399" s="43" t="str">
        <f t="shared" si="31"/>
        <v/>
      </c>
      <c r="K399" s="43" t="str">
        <f t="shared" si="27"/>
        <v/>
      </c>
    </row>
    <row r="400" spans="1:11">
      <c r="A400" s="43"/>
      <c r="B400" s="43"/>
      <c r="C400" s="43"/>
      <c r="D400" s="43"/>
      <c r="E400" s="43"/>
      <c r="F400" s="43" t="str">
        <f>IF(B400="Egg Shop","",IF(J400="","",IFERROR(LOOKUP(2,1/(Purchases!$H$3:$H$2002=J400),Purchases!$F$3:$F$2002),"")))</f>
        <v/>
      </c>
      <c r="G400" s="43" t="str">
        <f t="shared" si="28"/>
        <v/>
      </c>
      <c r="H400" s="43" t="str">
        <f t="shared" si="29"/>
        <v/>
      </c>
      <c r="I400" s="43" t="str">
        <f t="shared" si="30"/>
        <v/>
      </c>
      <c r="J400" s="43" t="str">
        <f t="shared" si="31"/>
        <v/>
      </c>
      <c r="K400" s="43" t="str">
        <f t="shared" si="27"/>
        <v/>
      </c>
    </row>
    <row r="401" spans="1:11">
      <c r="A401" s="43"/>
      <c r="B401" s="43"/>
      <c r="C401" s="43"/>
      <c r="D401" s="43"/>
      <c r="E401" s="43"/>
      <c r="F401" s="43" t="str">
        <f>IF(B401="Egg Shop","",IF(J401="","",IFERROR(LOOKUP(2,1/(Purchases!$H$3:$H$2002=J401),Purchases!$F$3:$F$2002),"")))</f>
        <v/>
      </c>
      <c r="G401" s="43" t="str">
        <f t="shared" si="28"/>
        <v/>
      </c>
      <c r="H401" s="43" t="str">
        <f t="shared" si="29"/>
        <v/>
      </c>
      <c r="I401" s="43" t="str">
        <f t="shared" si="30"/>
        <v/>
      </c>
      <c r="J401" s="43" t="str">
        <f t="shared" si="31"/>
        <v/>
      </c>
      <c r="K401" s="43" t="str">
        <f t="shared" si="27"/>
        <v/>
      </c>
    </row>
    <row r="402" spans="1:11">
      <c r="A402" s="43"/>
      <c r="B402" s="43"/>
      <c r="C402" s="43"/>
      <c r="D402" s="43"/>
      <c r="E402" s="43"/>
      <c r="F402" s="43" t="str">
        <f>IF(B402="Egg Shop","",IF(J402="","",IFERROR(LOOKUP(2,1/(Purchases!$H$3:$H$2002=J402),Purchases!$F$3:$F$2002),"")))</f>
        <v/>
      </c>
      <c r="G402" s="43" t="str">
        <f t="shared" si="28"/>
        <v/>
      </c>
      <c r="H402" s="43" t="str">
        <f t="shared" si="29"/>
        <v/>
      </c>
      <c r="I402" s="43" t="str">
        <f t="shared" si="30"/>
        <v/>
      </c>
      <c r="J402" s="43" t="str">
        <f t="shared" si="31"/>
        <v/>
      </c>
      <c r="K402" s="43" t="str">
        <f t="shared" ref="K402:K465" si="32">IF(A402&lt;&gt;"","Cash","")</f>
        <v/>
      </c>
    </row>
    <row r="403" spans="1:11">
      <c r="A403" s="43"/>
      <c r="B403" s="43"/>
      <c r="C403" s="43"/>
      <c r="D403" s="43"/>
      <c r="E403" s="43"/>
      <c r="F403" s="43" t="str">
        <f>IF(B403="Egg Shop","",IF(J403="","",IFERROR(LOOKUP(2,1/(Purchases!$H$3:$H$2002=J403),Purchases!$F$3:$F$2002),"")))</f>
        <v/>
      </c>
      <c r="G403" s="43" t="str">
        <f t="shared" si="28"/>
        <v/>
      </c>
      <c r="H403" s="43" t="str">
        <f t="shared" si="29"/>
        <v/>
      </c>
      <c r="I403" s="43" t="str">
        <f t="shared" si="30"/>
        <v/>
      </c>
      <c r="J403" s="43" t="str">
        <f t="shared" si="31"/>
        <v/>
      </c>
      <c r="K403" s="43" t="str">
        <f t="shared" si="32"/>
        <v/>
      </c>
    </row>
    <row r="404" spans="1:11">
      <c r="A404" s="43"/>
      <c r="B404" s="43"/>
      <c r="C404" s="43"/>
      <c r="D404" s="43"/>
      <c r="E404" s="43"/>
      <c r="F404" s="43" t="str">
        <f>IF(B404="Egg Shop","",IF(J404="","",IFERROR(LOOKUP(2,1/(Purchases!$H$3:$H$2002=J404),Purchases!$F$3:$F$2002),"")))</f>
        <v/>
      </c>
      <c r="G404" s="43" t="str">
        <f t="shared" si="28"/>
        <v/>
      </c>
      <c r="H404" s="43" t="str">
        <f t="shared" si="29"/>
        <v/>
      </c>
      <c r="I404" s="43" t="str">
        <f t="shared" si="30"/>
        <v/>
      </c>
      <c r="J404" s="43" t="str">
        <f t="shared" si="31"/>
        <v/>
      </c>
      <c r="K404" s="43" t="str">
        <f t="shared" si="32"/>
        <v/>
      </c>
    </row>
    <row r="405" spans="1:11">
      <c r="A405" s="43"/>
      <c r="B405" s="43"/>
      <c r="C405" s="43"/>
      <c r="D405" s="43"/>
      <c r="E405" s="43"/>
      <c r="F405" s="43" t="str">
        <f>IF(B405="Egg Shop","",IF(J405="","",IFERROR(LOOKUP(2,1/(Purchases!$H$3:$H$2002=J405),Purchases!$F$3:$F$2002),"")))</f>
        <v/>
      </c>
      <c r="G405" s="43" t="str">
        <f t="shared" si="28"/>
        <v/>
      </c>
      <c r="H405" s="43" t="str">
        <f t="shared" si="29"/>
        <v/>
      </c>
      <c r="I405" s="43" t="str">
        <f t="shared" si="30"/>
        <v/>
      </c>
      <c r="J405" s="43" t="str">
        <f t="shared" si="31"/>
        <v/>
      </c>
      <c r="K405" s="43" t="str">
        <f t="shared" si="32"/>
        <v/>
      </c>
    </row>
    <row r="406" spans="1:11">
      <c r="A406" s="43"/>
      <c r="B406" s="43"/>
      <c r="C406" s="43"/>
      <c r="D406" s="43"/>
      <c r="E406" s="43"/>
      <c r="F406" s="43" t="str">
        <f>IF(B406="Egg Shop","",IF(J406="","",IFERROR(LOOKUP(2,1/(Purchases!$H$3:$H$2002=J406),Purchases!$F$3:$F$2002),"")))</f>
        <v/>
      </c>
      <c r="G406" s="43" t="str">
        <f t="shared" si="28"/>
        <v/>
      </c>
      <c r="H406" s="43" t="str">
        <f t="shared" si="29"/>
        <v/>
      </c>
      <c r="I406" s="43" t="str">
        <f t="shared" si="30"/>
        <v/>
      </c>
      <c r="J406" s="43" t="str">
        <f t="shared" si="31"/>
        <v/>
      </c>
      <c r="K406" s="43" t="str">
        <f t="shared" si="32"/>
        <v/>
      </c>
    </row>
    <row r="407" spans="1:11">
      <c r="A407" s="43"/>
      <c r="B407" s="43"/>
      <c r="C407" s="43"/>
      <c r="D407" s="43"/>
      <c r="E407" s="43"/>
      <c r="F407" s="43" t="str">
        <f>IF(B407="Egg Shop","",IF(J407="","",IFERROR(LOOKUP(2,1/(Purchases!$H$3:$H$2002=J407),Purchases!$F$3:$F$2002),"")))</f>
        <v/>
      </c>
      <c r="G407" s="43" t="str">
        <f t="shared" si="28"/>
        <v/>
      </c>
      <c r="H407" s="43" t="str">
        <f t="shared" si="29"/>
        <v/>
      </c>
      <c r="I407" s="43" t="str">
        <f t="shared" si="30"/>
        <v/>
      </c>
      <c r="J407" s="43" t="str">
        <f t="shared" si="31"/>
        <v/>
      </c>
      <c r="K407" s="43" t="str">
        <f t="shared" si="32"/>
        <v/>
      </c>
    </row>
    <row r="408" spans="1:11">
      <c r="A408" s="43"/>
      <c r="B408" s="43"/>
      <c r="C408" s="43"/>
      <c r="D408" s="43"/>
      <c r="E408" s="43"/>
      <c r="F408" s="43" t="str">
        <f>IF(B408="Egg Shop","",IF(J408="","",IFERROR(LOOKUP(2,1/(Purchases!$H$3:$H$2002=J408),Purchases!$F$3:$F$2002),"")))</f>
        <v/>
      </c>
      <c r="G408" s="43" t="str">
        <f t="shared" si="28"/>
        <v/>
      </c>
      <c r="H408" s="43" t="str">
        <f t="shared" si="29"/>
        <v/>
      </c>
      <c r="I408" s="43" t="str">
        <f t="shared" si="30"/>
        <v/>
      </c>
      <c r="J408" s="43" t="str">
        <f t="shared" si="31"/>
        <v/>
      </c>
      <c r="K408" s="43" t="str">
        <f t="shared" si="32"/>
        <v/>
      </c>
    </row>
    <row r="409" spans="1:11">
      <c r="A409" s="43"/>
      <c r="B409" s="43"/>
      <c r="C409" s="43"/>
      <c r="D409" s="43"/>
      <c r="E409" s="43"/>
      <c r="F409" s="43" t="str">
        <f>IF(B409="Egg Shop","",IF(J409="","",IFERROR(LOOKUP(2,1/(Purchases!$H$3:$H$2002=J409),Purchases!$F$3:$F$2002),"")))</f>
        <v/>
      </c>
      <c r="G409" s="43" t="str">
        <f t="shared" si="28"/>
        <v/>
      </c>
      <c r="H409" s="43" t="str">
        <f t="shared" si="29"/>
        <v/>
      </c>
      <c r="I409" s="43" t="str">
        <f t="shared" si="30"/>
        <v/>
      </c>
      <c r="J409" s="43" t="str">
        <f t="shared" si="31"/>
        <v/>
      </c>
      <c r="K409" s="43" t="str">
        <f t="shared" si="32"/>
        <v/>
      </c>
    </row>
    <row r="410" spans="1:11">
      <c r="A410" s="43"/>
      <c r="B410" s="43"/>
      <c r="C410" s="43"/>
      <c r="D410" s="43"/>
      <c r="E410" s="43"/>
      <c r="F410" s="43" t="str">
        <f>IF(B410="Egg Shop","",IF(J410="","",IFERROR(LOOKUP(2,1/(Purchases!$H$3:$H$2002=J410),Purchases!$F$3:$F$2002),"")))</f>
        <v/>
      </c>
      <c r="G410" s="43" t="str">
        <f t="shared" si="28"/>
        <v/>
      </c>
      <c r="H410" s="43" t="str">
        <f t="shared" si="29"/>
        <v/>
      </c>
      <c r="I410" s="43" t="str">
        <f t="shared" si="30"/>
        <v/>
      </c>
      <c r="J410" s="43" t="str">
        <f t="shared" si="31"/>
        <v/>
      </c>
      <c r="K410" s="43" t="str">
        <f t="shared" si="32"/>
        <v/>
      </c>
    </row>
    <row r="411" spans="1:11">
      <c r="A411" s="43"/>
      <c r="B411" s="43"/>
      <c r="C411" s="43"/>
      <c r="D411" s="43"/>
      <c r="E411" s="43"/>
      <c r="F411" s="43" t="str">
        <f>IF(B411="Egg Shop","",IF(J411="","",IFERROR(LOOKUP(2,1/(Purchases!$H$3:$H$2002=J411),Purchases!$F$3:$F$2002),"")))</f>
        <v/>
      </c>
      <c r="G411" s="43" t="str">
        <f t="shared" si="28"/>
        <v/>
      </c>
      <c r="H411" s="43" t="str">
        <f t="shared" si="29"/>
        <v/>
      </c>
      <c r="I411" s="43" t="str">
        <f t="shared" si="30"/>
        <v/>
      </c>
      <c r="J411" s="43" t="str">
        <f t="shared" si="31"/>
        <v/>
      </c>
      <c r="K411" s="43" t="str">
        <f t="shared" si="32"/>
        <v/>
      </c>
    </row>
    <row r="412" spans="1:11">
      <c r="A412" s="43"/>
      <c r="B412" s="43"/>
      <c r="C412" s="43"/>
      <c r="D412" s="43"/>
      <c r="E412" s="43"/>
      <c r="F412" s="43" t="str">
        <f>IF(B412="Egg Shop","",IF(J412="","",IFERROR(LOOKUP(2,1/(Purchases!$H$3:$H$2002=J412),Purchases!$F$3:$F$2002),"")))</f>
        <v/>
      </c>
      <c r="G412" s="43" t="str">
        <f t="shared" si="28"/>
        <v/>
      </c>
      <c r="H412" s="43" t="str">
        <f t="shared" si="29"/>
        <v/>
      </c>
      <c r="I412" s="43" t="str">
        <f t="shared" si="30"/>
        <v/>
      </c>
      <c r="J412" s="43" t="str">
        <f t="shared" si="31"/>
        <v/>
      </c>
      <c r="K412" s="43" t="str">
        <f t="shared" si="32"/>
        <v/>
      </c>
    </row>
    <row r="413" spans="1:11">
      <c r="A413" s="43"/>
      <c r="B413" s="43"/>
      <c r="C413" s="43"/>
      <c r="D413" s="43"/>
      <c r="E413" s="43"/>
      <c r="F413" s="43" t="str">
        <f>IF(B413="Egg Shop","",IF(J413="","",IFERROR(LOOKUP(2,1/(Purchases!$H$3:$H$2002=J413),Purchases!$F$3:$F$2002),"")))</f>
        <v/>
      </c>
      <c r="G413" s="43" t="str">
        <f t="shared" si="28"/>
        <v/>
      </c>
      <c r="H413" s="43" t="str">
        <f t="shared" si="29"/>
        <v/>
      </c>
      <c r="I413" s="43" t="str">
        <f t="shared" si="30"/>
        <v/>
      </c>
      <c r="J413" s="43" t="str">
        <f t="shared" si="31"/>
        <v/>
      </c>
      <c r="K413" s="43" t="str">
        <f t="shared" si="32"/>
        <v/>
      </c>
    </row>
    <row r="414" spans="1:11">
      <c r="A414" s="43"/>
      <c r="B414" s="43"/>
      <c r="C414" s="43"/>
      <c r="D414" s="43"/>
      <c r="E414" s="43"/>
      <c r="F414" s="43" t="str">
        <f>IF(B414="Egg Shop","",IF(J414="","",IFERROR(LOOKUP(2,1/(Purchases!$H$3:$H$2002=J414),Purchases!$F$3:$F$2002),"")))</f>
        <v/>
      </c>
      <c r="G414" s="43" t="str">
        <f t="shared" si="28"/>
        <v/>
      </c>
      <c r="H414" s="43" t="str">
        <f t="shared" si="29"/>
        <v/>
      </c>
      <c r="I414" s="43" t="str">
        <f t="shared" si="30"/>
        <v/>
      </c>
      <c r="J414" s="43" t="str">
        <f t="shared" si="31"/>
        <v/>
      </c>
      <c r="K414" s="43" t="str">
        <f t="shared" si="32"/>
        <v/>
      </c>
    </row>
    <row r="415" spans="1:11">
      <c r="A415" s="43"/>
      <c r="B415" s="43"/>
      <c r="C415" s="43"/>
      <c r="D415" s="43"/>
      <c r="E415" s="43"/>
      <c r="F415" s="43" t="str">
        <f>IF(B415="Egg Shop","",IF(J415="","",IFERROR(LOOKUP(2,1/(Purchases!$H$3:$H$2002=J415),Purchases!$F$3:$F$2002),"")))</f>
        <v/>
      </c>
      <c r="G415" s="43" t="str">
        <f t="shared" si="28"/>
        <v/>
      </c>
      <c r="H415" s="43" t="str">
        <f t="shared" si="29"/>
        <v/>
      </c>
      <c r="I415" s="43" t="str">
        <f t="shared" si="30"/>
        <v/>
      </c>
      <c r="J415" s="43" t="str">
        <f t="shared" si="31"/>
        <v/>
      </c>
      <c r="K415" s="43" t="str">
        <f t="shared" si="32"/>
        <v/>
      </c>
    </row>
    <row r="416" spans="1:11">
      <c r="A416" s="43"/>
      <c r="B416" s="43"/>
      <c r="C416" s="43"/>
      <c r="D416" s="43"/>
      <c r="E416" s="43"/>
      <c r="F416" s="43" t="str">
        <f>IF(B416="Egg Shop","",IF(J416="","",IFERROR(LOOKUP(2,1/(Purchases!$H$3:$H$2002=J416),Purchases!$F$3:$F$2002),"")))</f>
        <v/>
      </c>
      <c r="G416" s="43" t="str">
        <f t="shared" si="28"/>
        <v/>
      </c>
      <c r="H416" s="43" t="str">
        <f t="shared" si="29"/>
        <v/>
      </c>
      <c r="I416" s="43" t="str">
        <f t="shared" si="30"/>
        <v/>
      </c>
      <c r="J416" s="43" t="str">
        <f t="shared" si="31"/>
        <v/>
      </c>
      <c r="K416" s="43" t="str">
        <f t="shared" si="32"/>
        <v/>
      </c>
    </row>
    <row r="417" spans="1:11">
      <c r="A417" s="43"/>
      <c r="B417" s="43"/>
      <c r="C417" s="43"/>
      <c r="D417" s="43"/>
      <c r="E417" s="43"/>
      <c r="F417" s="43" t="str">
        <f>IF(B417="Egg Shop","",IF(J417="","",IFERROR(LOOKUP(2,1/(Purchases!$H$3:$H$2002=J417),Purchases!$F$3:$F$2002),"")))</f>
        <v/>
      </c>
      <c r="G417" s="43" t="str">
        <f t="shared" si="28"/>
        <v/>
      </c>
      <c r="H417" s="43" t="str">
        <f t="shared" si="29"/>
        <v/>
      </c>
      <c r="I417" s="43" t="str">
        <f t="shared" si="30"/>
        <v/>
      </c>
      <c r="J417" s="43" t="str">
        <f t="shared" si="31"/>
        <v/>
      </c>
      <c r="K417" s="43" t="str">
        <f t="shared" si="32"/>
        <v/>
      </c>
    </row>
    <row r="418" spans="1:11">
      <c r="A418" s="43"/>
      <c r="B418" s="43"/>
      <c r="C418" s="43"/>
      <c r="D418" s="43"/>
      <c r="E418" s="43"/>
      <c r="F418" s="43" t="str">
        <f>IF(B418="Egg Shop","",IF(J418="","",IFERROR(LOOKUP(2,1/(Purchases!$H$3:$H$2002=J418),Purchases!$F$3:$F$2002),"")))</f>
        <v/>
      </c>
      <c r="G418" s="43" t="str">
        <f t="shared" si="28"/>
        <v/>
      </c>
      <c r="H418" s="43" t="str">
        <f t="shared" si="29"/>
        <v/>
      </c>
      <c r="I418" s="43" t="str">
        <f t="shared" si="30"/>
        <v/>
      </c>
      <c r="J418" s="43" t="str">
        <f t="shared" si="31"/>
        <v/>
      </c>
      <c r="K418" s="43" t="str">
        <f t="shared" si="32"/>
        <v/>
      </c>
    </row>
    <row r="419" spans="1:11">
      <c r="A419" s="43"/>
      <c r="B419" s="43"/>
      <c r="C419" s="43"/>
      <c r="D419" s="43"/>
      <c r="E419" s="43"/>
      <c r="F419" s="43" t="str">
        <f>IF(B419="Egg Shop","",IF(J419="","",IFERROR(LOOKUP(2,1/(Purchases!$H$3:$H$2002=J419),Purchases!$F$3:$F$2002),"")))</f>
        <v/>
      </c>
      <c r="G419" s="43" t="str">
        <f t="shared" si="28"/>
        <v/>
      </c>
      <c r="H419" s="43" t="str">
        <f t="shared" si="29"/>
        <v/>
      </c>
      <c r="I419" s="43" t="str">
        <f t="shared" si="30"/>
        <v/>
      </c>
      <c r="J419" s="43" t="str">
        <f t="shared" si="31"/>
        <v/>
      </c>
      <c r="K419" s="43" t="str">
        <f t="shared" si="32"/>
        <v/>
      </c>
    </row>
    <row r="420" spans="1:11">
      <c r="A420" s="43"/>
      <c r="B420" s="43"/>
      <c r="C420" s="43"/>
      <c r="D420" s="43"/>
      <c r="E420" s="43"/>
      <c r="F420" s="43" t="str">
        <f>IF(B420="Egg Shop","",IF(J420="","",IFERROR(LOOKUP(2,1/(Purchases!$H$3:$H$2002=J420),Purchases!$F$3:$F$2002),"")))</f>
        <v/>
      </c>
      <c r="G420" s="43" t="str">
        <f t="shared" si="28"/>
        <v/>
      </c>
      <c r="H420" s="43" t="str">
        <f t="shared" si="29"/>
        <v/>
      </c>
      <c r="I420" s="43" t="str">
        <f t="shared" si="30"/>
        <v/>
      </c>
      <c r="J420" s="43" t="str">
        <f t="shared" si="31"/>
        <v/>
      </c>
      <c r="K420" s="43" t="str">
        <f t="shared" si="32"/>
        <v/>
      </c>
    </row>
    <row r="421" spans="1:11">
      <c r="A421" s="43"/>
      <c r="B421" s="43"/>
      <c r="C421" s="43"/>
      <c r="D421" s="43"/>
      <c r="E421" s="43"/>
      <c r="F421" s="43" t="str">
        <f>IF(B421="Egg Shop","",IF(J421="","",IFERROR(LOOKUP(2,1/(Purchases!$H$3:$H$2002=J421),Purchases!$F$3:$F$2002),"")))</f>
        <v/>
      </c>
      <c r="G421" s="43" t="str">
        <f t="shared" si="28"/>
        <v/>
      </c>
      <c r="H421" s="43" t="str">
        <f t="shared" si="29"/>
        <v/>
      </c>
      <c r="I421" s="43" t="str">
        <f t="shared" si="30"/>
        <v/>
      </c>
      <c r="J421" s="43" t="str">
        <f t="shared" si="31"/>
        <v/>
      </c>
      <c r="K421" s="43" t="str">
        <f t="shared" si="32"/>
        <v/>
      </c>
    </row>
    <row r="422" spans="1:11">
      <c r="A422" s="43"/>
      <c r="B422" s="43"/>
      <c r="C422" s="43"/>
      <c r="D422" s="43"/>
      <c r="E422" s="43"/>
      <c r="F422" s="43" t="str">
        <f>IF(B422="Egg Shop","",IF(J422="","",IFERROR(LOOKUP(2,1/(Purchases!$H$3:$H$2002=J422),Purchases!$F$3:$F$2002),"")))</f>
        <v/>
      </c>
      <c r="G422" s="43" t="str">
        <f t="shared" si="28"/>
        <v/>
      </c>
      <c r="H422" s="43" t="str">
        <f t="shared" si="29"/>
        <v/>
      </c>
      <c r="I422" s="43" t="str">
        <f t="shared" si="30"/>
        <v/>
      </c>
      <c r="J422" s="43" t="str">
        <f t="shared" si="31"/>
        <v/>
      </c>
      <c r="K422" s="43" t="str">
        <f t="shared" si="32"/>
        <v/>
      </c>
    </row>
    <row r="423" spans="1:11">
      <c r="A423" s="43"/>
      <c r="B423" s="43"/>
      <c r="C423" s="43"/>
      <c r="D423" s="43"/>
      <c r="E423" s="43"/>
      <c r="F423" s="43" t="str">
        <f>IF(B423="Egg Shop","",IF(J423="","",IFERROR(LOOKUP(2,1/(Purchases!$H$3:$H$2002=J423),Purchases!$F$3:$F$2002),"")))</f>
        <v/>
      </c>
      <c r="G423" s="43" t="str">
        <f t="shared" si="28"/>
        <v/>
      </c>
      <c r="H423" s="43" t="str">
        <f t="shared" si="29"/>
        <v/>
      </c>
      <c r="I423" s="43" t="str">
        <f t="shared" si="30"/>
        <v/>
      </c>
      <c r="J423" s="43" t="str">
        <f t="shared" si="31"/>
        <v/>
      </c>
      <c r="K423" s="43" t="str">
        <f t="shared" si="32"/>
        <v/>
      </c>
    </row>
    <row r="424" spans="1:11">
      <c r="A424" s="43"/>
      <c r="B424" s="43"/>
      <c r="C424" s="43"/>
      <c r="D424" s="43"/>
      <c r="E424" s="43"/>
      <c r="F424" s="43" t="str">
        <f>IF(B424="Egg Shop","",IF(J424="","",IFERROR(LOOKUP(2,1/(Purchases!$H$3:$H$2002=J424),Purchases!$F$3:$F$2002),"")))</f>
        <v/>
      </c>
      <c r="G424" s="43" t="str">
        <f t="shared" si="28"/>
        <v/>
      </c>
      <c r="H424" s="43" t="str">
        <f t="shared" si="29"/>
        <v/>
      </c>
      <c r="I424" s="43" t="str">
        <f t="shared" si="30"/>
        <v/>
      </c>
      <c r="J424" s="43" t="str">
        <f t="shared" si="31"/>
        <v/>
      </c>
      <c r="K424" s="43" t="str">
        <f t="shared" si="32"/>
        <v/>
      </c>
    </row>
    <row r="425" spans="1:11">
      <c r="A425" s="43"/>
      <c r="B425" s="43"/>
      <c r="C425" s="43"/>
      <c r="D425" s="43"/>
      <c r="E425" s="43"/>
      <c r="F425" s="43" t="str">
        <f>IF(B425="Egg Shop","",IF(J425="","",IFERROR(LOOKUP(2,1/(Purchases!$H$3:$H$2002=J425),Purchases!$F$3:$F$2002),"")))</f>
        <v/>
      </c>
      <c r="G425" s="43" t="str">
        <f t="shared" si="28"/>
        <v/>
      </c>
      <c r="H425" s="43" t="str">
        <f t="shared" si="29"/>
        <v/>
      </c>
      <c r="I425" s="43" t="str">
        <f t="shared" si="30"/>
        <v/>
      </c>
      <c r="J425" s="43" t="str">
        <f t="shared" si="31"/>
        <v/>
      </c>
      <c r="K425" s="43" t="str">
        <f t="shared" si="32"/>
        <v/>
      </c>
    </row>
    <row r="426" spans="1:11">
      <c r="A426" s="43"/>
      <c r="B426" s="43"/>
      <c r="C426" s="43"/>
      <c r="D426" s="43"/>
      <c r="E426" s="43"/>
      <c r="F426" s="43" t="str">
        <f>IF(B426="Egg Shop","",IF(J426="","",IFERROR(LOOKUP(2,1/(Purchases!$H$3:$H$2002=J426),Purchases!$F$3:$F$2002),"")))</f>
        <v/>
      </c>
      <c r="G426" s="43" t="str">
        <f t="shared" si="28"/>
        <v/>
      </c>
      <c r="H426" s="43" t="str">
        <f t="shared" si="29"/>
        <v/>
      </c>
      <c r="I426" s="43" t="str">
        <f t="shared" si="30"/>
        <v/>
      </c>
      <c r="J426" s="43" t="str">
        <f t="shared" si="31"/>
        <v/>
      </c>
      <c r="K426" s="43" t="str">
        <f t="shared" si="32"/>
        <v/>
      </c>
    </row>
    <row r="427" spans="1:11">
      <c r="A427" s="43"/>
      <c r="B427" s="43"/>
      <c r="C427" s="43"/>
      <c r="D427" s="43"/>
      <c r="E427" s="43"/>
      <c r="F427" s="43" t="str">
        <f>IF(B427="Egg Shop","",IF(J427="","",IFERROR(LOOKUP(2,1/(Purchases!$H$3:$H$2002=J427),Purchases!$F$3:$F$2002),"")))</f>
        <v/>
      </c>
      <c r="G427" s="43" t="str">
        <f t="shared" si="28"/>
        <v/>
      </c>
      <c r="H427" s="43" t="str">
        <f t="shared" si="29"/>
        <v/>
      </c>
      <c r="I427" s="43" t="str">
        <f t="shared" si="30"/>
        <v/>
      </c>
      <c r="J427" s="43" t="str">
        <f t="shared" si="31"/>
        <v/>
      </c>
      <c r="K427" s="43" t="str">
        <f t="shared" si="32"/>
        <v/>
      </c>
    </row>
    <row r="428" spans="1:11">
      <c r="A428" s="43"/>
      <c r="B428" s="43"/>
      <c r="C428" s="43"/>
      <c r="D428" s="43"/>
      <c r="E428" s="43"/>
      <c r="F428" s="43" t="str">
        <f>IF(B428="Egg Shop","",IF(J428="","",IFERROR(LOOKUP(2,1/(Purchases!$H$3:$H$2002=J428),Purchases!$F$3:$F$2002),"")))</f>
        <v/>
      </c>
      <c r="G428" s="43" t="str">
        <f t="shared" si="28"/>
        <v/>
      </c>
      <c r="H428" s="43" t="str">
        <f t="shared" si="29"/>
        <v/>
      </c>
      <c r="I428" s="43" t="str">
        <f t="shared" si="30"/>
        <v/>
      </c>
      <c r="J428" s="43" t="str">
        <f t="shared" si="31"/>
        <v/>
      </c>
      <c r="K428" s="43" t="str">
        <f t="shared" si="32"/>
        <v/>
      </c>
    </row>
    <row r="429" spans="1:11">
      <c r="A429" s="43"/>
      <c r="B429" s="43"/>
      <c r="C429" s="43"/>
      <c r="D429" s="43"/>
      <c r="E429" s="43"/>
      <c r="F429" s="43" t="str">
        <f>IF(B429="Egg Shop","",IF(J429="","",IFERROR(LOOKUP(2,1/(Purchases!$H$3:$H$2002=J429),Purchases!$F$3:$F$2002),"")))</f>
        <v/>
      </c>
      <c r="G429" s="43" t="str">
        <f t="shared" si="28"/>
        <v/>
      </c>
      <c r="H429" s="43" t="str">
        <f t="shared" si="29"/>
        <v/>
      </c>
      <c r="I429" s="43" t="str">
        <f t="shared" si="30"/>
        <v/>
      </c>
      <c r="J429" s="43" t="str">
        <f t="shared" si="31"/>
        <v/>
      </c>
      <c r="K429" s="43" t="str">
        <f t="shared" si="32"/>
        <v/>
      </c>
    </row>
    <row r="430" spans="1:11">
      <c r="A430" s="43"/>
      <c r="B430" s="43"/>
      <c r="C430" s="43"/>
      <c r="D430" s="43"/>
      <c r="E430" s="43"/>
      <c r="F430" s="43" t="str">
        <f>IF(B430="Egg Shop","",IF(J430="","",IFERROR(LOOKUP(2,1/(Purchases!$H$3:$H$2002=J430),Purchases!$F$3:$F$2002),"")))</f>
        <v/>
      </c>
      <c r="G430" s="43" t="str">
        <f t="shared" si="28"/>
        <v/>
      </c>
      <c r="H430" s="43" t="str">
        <f t="shared" si="29"/>
        <v/>
      </c>
      <c r="I430" s="43" t="str">
        <f t="shared" si="30"/>
        <v/>
      </c>
      <c r="J430" s="43" t="str">
        <f t="shared" si="31"/>
        <v/>
      </c>
      <c r="K430" s="43" t="str">
        <f t="shared" si="32"/>
        <v/>
      </c>
    </row>
    <row r="431" spans="1:11">
      <c r="A431" s="43"/>
      <c r="B431" s="43"/>
      <c r="C431" s="43"/>
      <c r="D431" s="43"/>
      <c r="E431" s="43"/>
      <c r="F431" s="43" t="str">
        <f>IF(B431="Egg Shop","",IF(J431="","",IFERROR(LOOKUP(2,1/(Purchases!$H$3:$H$2002=J431),Purchases!$F$3:$F$2002),"")))</f>
        <v/>
      </c>
      <c r="G431" s="43" t="str">
        <f t="shared" si="28"/>
        <v/>
      </c>
      <c r="H431" s="43" t="str">
        <f t="shared" si="29"/>
        <v/>
      </c>
      <c r="I431" s="43" t="str">
        <f t="shared" si="30"/>
        <v/>
      </c>
      <c r="J431" s="43" t="str">
        <f t="shared" si="31"/>
        <v/>
      </c>
      <c r="K431" s="43" t="str">
        <f t="shared" si="32"/>
        <v/>
      </c>
    </row>
    <row r="432" spans="1:11">
      <c r="A432" s="43"/>
      <c r="B432" s="43"/>
      <c r="C432" s="43"/>
      <c r="D432" s="43"/>
      <c r="E432" s="43"/>
      <c r="F432" s="43" t="str">
        <f>IF(B432="Egg Shop","",IF(J432="","",IFERROR(LOOKUP(2,1/(Purchases!$H$3:$H$2002=J432),Purchases!$F$3:$F$2002),"")))</f>
        <v/>
      </c>
      <c r="G432" s="43" t="str">
        <f t="shared" si="28"/>
        <v/>
      </c>
      <c r="H432" s="43" t="str">
        <f t="shared" si="29"/>
        <v/>
      </c>
      <c r="I432" s="43" t="str">
        <f t="shared" si="30"/>
        <v/>
      </c>
      <c r="J432" s="43" t="str">
        <f t="shared" si="31"/>
        <v/>
      </c>
      <c r="K432" s="43" t="str">
        <f t="shared" si="32"/>
        <v/>
      </c>
    </row>
    <row r="433" spans="1:11">
      <c r="A433" s="43"/>
      <c r="B433" s="43"/>
      <c r="C433" s="43"/>
      <c r="D433" s="43"/>
      <c r="E433" s="43"/>
      <c r="F433" s="43" t="str">
        <f>IF(B433="Egg Shop","",IF(J433="","",IFERROR(LOOKUP(2,1/(Purchases!$H$3:$H$2002=J433),Purchases!$F$3:$F$2002),"")))</f>
        <v/>
      </c>
      <c r="G433" s="43" t="str">
        <f t="shared" si="28"/>
        <v/>
      </c>
      <c r="H433" s="43" t="str">
        <f t="shared" si="29"/>
        <v/>
      </c>
      <c r="I433" s="43" t="str">
        <f t="shared" si="30"/>
        <v/>
      </c>
      <c r="J433" s="43" t="str">
        <f t="shared" si="31"/>
        <v/>
      </c>
      <c r="K433" s="43" t="str">
        <f t="shared" si="32"/>
        <v/>
      </c>
    </row>
    <row r="434" spans="1:11">
      <c r="A434" s="43"/>
      <c r="B434" s="43"/>
      <c r="C434" s="43"/>
      <c r="D434" s="43"/>
      <c r="E434" s="43"/>
      <c r="F434" s="43" t="str">
        <f>IF(B434="Egg Shop","",IF(J434="","",IFERROR(LOOKUP(2,1/(Purchases!$H$3:$H$2002=J434),Purchases!$F$3:$F$2002),"")))</f>
        <v/>
      </c>
      <c r="G434" s="43" t="str">
        <f t="shared" si="28"/>
        <v/>
      </c>
      <c r="H434" s="43" t="str">
        <f t="shared" si="29"/>
        <v/>
      </c>
      <c r="I434" s="43" t="str">
        <f t="shared" si="30"/>
        <v/>
      </c>
      <c r="J434" s="43" t="str">
        <f t="shared" si="31"/>
        <v/>
      </c>
      <c r="K434" s="43" t="str">
        <f t="shared" si="32"/>
        <v/>
      </c>
    </row>
    <row r="435" spans="1:11">
      <c r="A435" s="43"/>
      <c r="B435" s="43"/>
      <c r="C435" s="43"/>
      <c r="D435" s="43"/>
      <c r="E435" s="43"/>
      <c r="F435" s="43" t="str">
        <f>IF(B435="Egg Shop","",IF(J435="","",IFERROR(LOOKUP(2,1/(Purchases!$H$3:$H$2002=J435),Purchases!$F$3:$F$2002),"")))</f>
        <v/>
      </c>
      <c r="G435" s="43" t="str">
        <f t="shared" si="28"/>
        <v/>
      </c>
      <c r="H435" s="43" t="str">
        <f t="shared" si="29"/>
        <v/>
      </c>
      <c r="I435" s="43" t="str">
        <f t="shared" si="30"/>
        <v/>
      </c>
      <c r="J435" s="43" t="str">
        <f t="shared" si="31"/>
        <v/>
      </c>
      <c r="K435" s="43" t="str">
        <f t="shared" si="32"/>
        <v/>
      </c>
    </row>
    <row r="436" spans="1:11">
      <c r="A436" s="43"/>
      <c r="B436" s="43"/>
      <c r="C436" s="43"/>
      <c r="D436" s="43"/>
      <c r="E436" s="43"/>
      <c r="F436" s="43" t="str">
        <f>IF(B436="Egg Shop","",IF(J436="","",IFERROR(LOOKUP(2,1/(Purchases!$H$3:$H$2002=J436),Purchases!$F$3:$F$2002),"")))</f>
        <v/>
      </c>
      <c r="G436" s="43" t="str">
        <f t="shared" si="28"/>
        <v/>
      </c>
      <c r="H436" s="43" t="str">
        <f t="shared" si="29"/>
        <v/>
      </c>
      <c r="I436" s="43" t="str">
        <f t="shared" si="30"/>
        <v/>
      </c>
      <c r="J436" s="43" t="str">
        <f t="shared" si="31"/>
        <v/>
      </c>
      <c r="K436" s="43" t="str">
        <f t="shared" si="32"/>
        <v/>
      </c>
    </row>
    <row r="437" spans="1:11">
      <c r="A437" s="43"/>
      <c r="B437" s="43"/>
      <c r="C437" s="43"/>
      <c r="D437" s="43"/>
      <c r="E437" s="43"/>
      <c r="F437" s="43" t="str">
        <f>IF(B437="Egg Shop","",IF(J437="","",IFERROR(LOOKUP(2,1/(Purchases!$H$3:$H$2002=J437),Purchases!$F$3:$F$2002),"")))</f>
        <v/>
      </c>
      <c r="G437" s="43" t="str">
        <f t="shared" si="28"/>
        <v/>
      </c>
      <c r="H437" s="43" t="str">
        <f t="shared" si="29"/>
        <v/>
      </c>
      <c r="I437" s="43" t="str">
        <f t="shared" si="30"/>
        <v/>
      </c>
      <c r="J437" s="43" t="str">
        <f t="shared" si="31"/>
        <v/>
      </c>
      <c r="K437" s="43" t="str">
        <f t="shared" si="32"/>
        <v/>
      </c>
    </row>
    <row r="438" spans="1:11">
      <c r="A438" s="43"/>
      <c r="B438" s="43"/>
      <c r="C438" s="43"/>
      <c r="D438" s="43"/>
      <c r="E438" s="43"/>
      <c r="F438" s="43" t="str">
        <f>IF(B438="Egg Shop","",IF(J438="","",IFERROR(LOOKUP(2,1/(Purchases!$H$3:$H$2002=J438),Purchases!$F$3:$F$2002),"")))</f>
        <v/>
      </c>
      <c r="G438" s="43" t="str">
        <f t="shared" si="28"/>
        <v/>
      </c>
      <c r="H438" s="43" t="str">
        <f t="shared" si="29"/>
        <v/>
      </c>
      <c r="I438" s="43" t="str">
        <f t="shared" si="30"/>
        <v/>
      </c>
      <c r="J438" s="43" t="str">
        <f t="shared" si="31"/>
        <v/>
      </c>
      <c r="K438" s="43" t="str">
        <f t="shared" si="32"/>
        <v/>
      </c>
    </row>
    <row r="439" spans="1:11">
      <c r="A439" s="43"/>
      <c r="B439" s="43"/>
      <c r="C439" s="43"/>
      <c r="D439" s="43"/>
      <c r="E439" s="43"/>
      <c r="F439" s="43" t="str">
        <f>IF(B439="Egg Shop","",IF(J439="","",IFERROR(LOOKUP(2,1/(Purchases!$H$3:$H$2002=J439),Purchases!$F$3:$F$2002),"")))</f>
        <v/>
      </c>
      <c r="G439" s="43" t="str">
        <f t="shared" si="28"/>
        <v/>
      </c>
      <c r="H439" s="43" t="str">
        <f t="shared" si="29"/>
        <v/>
      </c>
      <c r="I439" s="43" t="str">
        <f t="shared" si="30"/>
        <v/>
      </c>
      <c r="J439" s="43" t="str">
        <f t="shared" si="31"/>
        <v/>
      </c>
      <c r="K439" s="43" t="str">
        <f t="shared" si="32"/>
        <v/>
      </c>
    </row>
    <row r="440" spans="1:11">
      <c r="A440" s="43"/>
      <c r="B440" s="43"/>
      <c r="C440" s="43"/>
      <c r="D440" s="43"/>
      <c r="E440" s="43"/>
      <c r="F440" s="43" t="str">
        <f>IF(B440="Egg Shop","",IF(J440="","",IFERROR(LOOKUP(2,1/(Purchases!$H$3:$H$2002=J440),Purchases!$F$3:$F$2002),"")))</f>
        <v/>
      </c>
      <c r="G440" s="43" t="str">
        <f t="shared" si="28"/>
        <v/>
      </c>
      <c r="H440" s="43" t="str">
        <f t="shared" si="29"/>
        <v/>
      </c>
      <c r="I440" s="43" t="str">
        <f t="shared" si="30"/>
        <v/>
      </c>
      <c r="J440" s="43" t="str">
        <f t="shared" si="31"/>
        <v/>
      </c>
      <c r="K440" s="43" t="str">
        <f t="shared" si="32"/>
        <v/>
      </c>
    </row>
    <row r="441" spans="1:11">
      <c r="A441" s="43"/>
      <c r="B441" s="43"/>
      <c r="C441" s="43"/>
      <c r="D441" s="43"/>
      <c r="E441" s="43"/>
      <c r="F441" s="43" t="str">
        <f>IF(B441="Egg Shop","",IF(J441="","",IFERROR(LOOKUP(2,1/(Purchases!$H$3:$H$2002=J441),Purchases!$F$3:$F$2002),"")))</f>
        <v/>
      </c>
      <c r="G441" s="43" t="str">
        <f t="shared" si="28"/>
        <v/>
      </c>
      <c r="H441" s="43" t="str">
        <f t="shared" si="29"/>
        <v/>
      </c>
      <c r="I441" s="43" t="str">
        <f t="shared" si="30"/>
        <v/>
      </c>
      <c r="J441" s="43" t="str">
        <f t="shared" si="31"/>
        <v/>
      </c>
      <c r="K441" s="43" t="str">
        <f t="shared" si="32"/>
        <v/>
      </c>
    </row>
    <row r="442" spans="1:11">
      <c r="A442" s="43"/>
      <c r="B442" s="43"/>
      <c r="C442" s="43"/>
      <c r="D442" s="43"/>
      <c r="E442" s="43"/>
      <c r="F442" s="43" t="str">
        <f>IF(B442="Egg Shop","",IF(J442="","",IFERROR(LOOKUP(2,1/(Purchases!$H$3:$H$2002=J442),Purchases!$F$3:$F$2002),"")))</f>
        <v/>
      </c>
      <c r="G442" s="43" t="str">
        <f t="shared" si="28"/>
        <v/>
      </c>
      <c r="H442" s="43" t="str">
        <f t="shared" si="29"/>
        <v/>
      </c>
      <c r="I442" s="43" t="str">
        <f t="shared" si="30"/>
        <v/>
      </c>
      <c r="J442" s="43" t="str">
        <f t="shared" si="31"/>
        <v/>
      </c>
      <c r="K442" s="43" t="str">
        <f t="shared" si="32"/>
        <v/>
      </c>
    </row>
    <row r="443" spans="1:11">
      <c r="A443" s="43"/>
      <c r="B443" s="43"/>
      <c r="C443" s="43"/>
      <c r="D443" s="43"/>
      <c r="E443" s="43"/>
      <c r="F443" s="43" t="str">
        <f>IF(B443="Egg Shop","",IF(J443="","",IFERROR(LOOKUP(2,1/(Purchases!$H$3:$H$2002=J443),Purchases!$F$3:$F$2002),"")))</f>
        <v/>
      </c>
      <c r="G443" s="43" t="str">
        <f t="shared" si="28"/>
        <v/>
      </c>
      <c r="H443" s="43" t="str">
        <f t="shared" si="29"/>
        <v/>
      </c>
      <c r="I443" s="43" t="str">
        <f t="shared" si="30"/>
        <v/>
      </c>
      <c r="J443" s="43" t="str">
        <f t="shared" si="31"/>
        <v/>
      </c>
      <c r="K443" s="43" t="str">
        <f t="shared" si="32"/>
        <v/>
      </c>
    </row>
    <row r="444" spans="1:11">
      <c r="A444" s="43"/>
      <c r="B444" s="43"/>
      <c r="C444" s="43"/>
      <c r="D444" s="43"/>
      <c r="E444" s="43"/>
      <c r="F444" s="43" t="str">
        <f>IF(B444="Egg Shop","",IF(J444="","",IFERROR(LOOKUP(2,1/(Purchases!$H$3:$H$2002=J444),Purchases!$F$3:$F$2002),"")))</f>
        <v/>
      </c>
      <c r="G444" s="43" t="str">
        <f t="shared" si="28"/>
        <v/>
      </c>
      <c r="H444" s="43" t="str">
        <f t="shared" si="29"/>
        <v/>
      </c>
      <c r="I444" s="43" t="str">
        <f t="shared" si="30"/>
        <v/>
      </c>
      <c r="J444" s="43" t="str">
        <f t="shared" si="31"/>
        <v/>
      </c>
      <c r="K444" s="43" t="str">
        <f t="shared" si="32"/>
        <v/>
      </c>
    </row>
    <row r="445" spans="1:11">
      <c r="A445" s="43"/>
      <c r="B445" s="43"/>
      <c r="C445" s="43"/>
      <c r="D445" s="43"/>
      <c r="E445" s="43"/>
      <c r="F445" s="43" t="str">
        <f>IF(B445="Egg Shop","",IF(J445="","",IFERROR(LOOKUP(2,1/(Purchases!$H$3:$H$2002=J445),Purchases!$F$3:$F$2002),"")))</f>
        <v/>
      </c>
      <c r="G445" s="43" t="str">
        <f t="shared" si="28"/>
        <v/>
      </c>
      <c r="H445" s="43" t="str">
        <f t="shared" si="29"/>
        <v/>
      </c>
      <c r="I445" s="43" t="str">
        <f t="shared" si="30"/>
        <v/>
      </c>
      <c r="J445" s="43" t="str">
        <f t="shared" si="31"/>
        <v/>
      </c>
      <c r="K445" s="43" t="str">
        <f t="shared" si="32"/>
        <v/>
      </c>
    </row>
    <row r="446" spans="1:11">
      <c r="A446" s="43"/>
      <c r="B446" s="43"/>
      <c r="C446" s="43"/>
      <c r="D446" s="43"/>
      <c r="E446" s="43"/>
      <c r="F446" s="43" t="str">
        <f>IF(B446="Egg Shop","",IF(J446="","",IFERROR(LOOKUP(2,1/(Purchases!$H$3:$H$2002=J446),Purchases!$F$3:$F$2002),"")))</f>
        <v/>
      </c>
      <c r="G446" s="43" t="str">
        <f t="shared" si="28"/>
        <v/>
      </c>
      <c r="H446" s="43" t="str">
        <f t="shared" si="29"/>
        <v/>
      </c>
      <c r="I446" s="43" t="str">
        <f t="shared" si="30"/>
        <v/>
      </c>
      <c r="J446" s="43" t="str">
        <f t="shared" si="31"/>
        <v/>
      </c>
      <c r="K446" s="43" t="str">
        <f t="shared" si="32"/>
        <v/>
      </c>
    </row>
    <row r="447" spans="1:11">
      <c r="A447" s="43"/>
      <c r="B447" s="43"/>
      <c r="C447" s="43"/>
      <c r="D447" s="43"/>
      <c r="E447" s="43"/>
      <c r="F447" s="43" t="str">
        <f>IF(B447="Egg Shop","",IF(J447="","",IFERROR(LOOKUP(2,1/(Purchases!$H$3:$H$2002=J447),Purchases!$F$3:$F$2002),"")))</f>
        <v/>
      </c>
      <c r="G447" s="43" t="str">
        <f t="shared" si="28"/>
        <v/>
      </c>
      <c r="H447" s="43" t="str">
        <f t="shared" si="29"/>
        <v/>
      </c>
      <c r="I447" s="43" t="str">
        <f t="shared" si="30"/>
        <v/>
      </c>
      <c r="J447" s="43" t="str">
        <f t="shared" si="31"/>
        <v/>
      </c>
      <c r="K447" s="43" t="str">
        <f t="shared" si="32"/>
        <v/>
      </c>
    </row>
    <row r="448" spans="1:11">
      <c r="A448" s="43"/>
      <c r="B448" s="43"/>
      <c r="C448" s="43"/>
      <c r="D448" s="43"/>
      <c r="E448" s="43"/>
      <c r="F448" s="43" t="str">
        <f>IF(B448="Egg Shop","",IF(J448="","",IFERROR(LOOKUP(2,1/(Purchases!$H$3:$H$2002=J448),Purchases!$F$3:$F$2002),"")))</f>
        <v/>
      </c>
      <c r="G448" s="43" t="str">
        <f t="shared" si="28"/>
        <v/>
      </c>
      <c r="H448" s="43" t="str">
        <f t="shared" si="29"/>
        <v/>
      </c>
      <c r="I448" s="43" t="str">
        <f t="shared" si="30"/>
        <v/>
      </c>
      <c r="J448" s="43" t="str">
        <f t="shared" si="31"/>
        <v/>
      </c>
      <c r="K448" s="43" t="str">
        <f t="shared" si="32"/>
        <v/>
      </c>
    </row>
    <row r="449" spans="1:11">
      <c r="A449" s="43"/>
      <c r="B449" s="43"/>
      <c r="C449" s="43"/>
      <c r="D449" s="43"/>
      <c r="E449" s="43"/>
      <c r="F449" s="43" t="str">
        <f>IF(B449="Egg Shop","",IF(J449="","",IFERROR(LOOKUP(2,1/(Purchases!$H$3:$H$2002=J449),Purchases!$F$3:$F$2002),"")))</f>
        <v/>
      </c>
      <c r="G449" s="43" t="str">
        <f t="shared" si="28"/>
        <v/>
      </c>
      <c r="H449" s="43" t="str">
        <f t="shared" si="29"/>
        <v/>
      </c>
      <c r="I449" s="43" t="str">
        <f t="shared" si="30"/>
        <v/>
      </c>
      <c r="J449" s="43" t="str">
        <f t="shared" si="31"/>
        <v/>
      </c>
      <c r="K449" s="43" t="str">
        <f t="shared" si="32"/>
        <v/>
      </c>
    </row>
    <row r="450" spans="1:11">
      <c r="A450" s="43"/>
      <c r="B450" s="43"/>
      <c r="C450" s="43"/>
      <c r="D450" s="43"/>
      <c r="E450" s="43"/>
      <c r="F450" s="43" t="str">
        <f>IF(B450="Egg Shop","",IF(J450="","",IFERROR(LOOKUP(2,1/(Purchases!$H$3:$H$2002=J450),Purchases!$F$3:$F$2002),"")))</f>
        <v/>
      </c>
      <c r="G450" s="43" t="str">
        <f t="shared" si="28"/>
        <v/>
      </c>
      <c r="H450" s="43" t="str">
        <f t="shared" si="29"/>
        <v/>
      </c>
      <c r="I450" s="43" t="str">
        <f t="shared" si="30"/>
        <v/>
      </c>
      <c r="J450" s="43" t="str">
        <f t="shared" si="31"/>
        <v/>
      </c>
      <c r="K450" s="43" t="str">
        <f t="shared" si="32"/>
        <v/>
      </c>
    </row>
    <row r="451" spans="1:11">
      <c r="A451" s="43"/>
      <c r="B451" s="43"/>
      <c r="C451" s="43"/>
      <c r="D451" s="43"/>
      <c r="E451" s="43"/>
      <c r="F451" s="43" t="str">
        <f>IF(B451="Egg Shop","",IF(J451="","",IFERROR(LOOKUP(2,1/(Purchases!$H$3:$H$2002=J451),Purchases!$F$3:$F$2002),"")))</f>
        <v/>
      </c>
      <c r="G451" s="43" t="str">
        <f t="shared" ref="G451:G514" si="33">IF(OR(D451="",E451=""),"",D451*E451)</f>
        <v/>
      </c>
      <c r="H451" s="43" t="str">
        <f t="shared" ref="H451:H514" si="34">IF(OR(D451="",F451=""),"",D451*F451)</f>
        <v/>
      </c>
      <c r="I451" s="43" t="str">
        <f t="shared" ref="I451:I514" si="35">IF(OR(G451="",H451=""),"",G451-H451)</f>
        <v/>
      </c>
      <c r="J451" s="43" t="str">
        <f t="shared" ref="J451:J514" si="36">IF(OR(B451="",C451=""),"",B451&amp;"|"&amp;C451)</f>
        <v/>
      </c>
      <c r="K451" s="43" t="str">
        <f t="shared" si="32"/>
        <v/>
      </c>
    </row>
    <row r="452" spans="1:11">
      <c r="A452" s="43"/>
      <c r="B452" s="43"/>
      <c r="C452" s="43"/>
      <c r="D452" s="43"/>
      <c r="E452" s="43"/>
      <c r="F452" s="43" t="str">
        <f>IF(B452="Egg Shop","",IF(J452="","",IFERROR(LOOKUP(2,1/(Purchases!$H$3:$H$2002=J452),Purchases!$F$3:$F$2002),"")))</f>
        <v/>
      </c>
      <c r="G452" s="43" t="str">
        <f t="shared" si="33"/>
        <v/>
      </c>
      <c r="H452" s="43" t="str">
        <f t="shared" si="34"/>
        <v/>
      </c>
      <c r="I452" s="43" t="str">
        <f t="shared" si="35"/>
        <v/>
      </c>
      <c r="J452" s="43" t="str">
        <f t="shared" si="36"/>
        <v/>
      </c>
      <c r="K452" s="43" t="str">
        <f t="shared" si="32"/>
        <v/>
      </c>
    </row>
    <row r="453" spans="1:11">
      <c r="A453" s="43"/>
      <c r="B453" s="43"/>
      <c r="C453" s="43"/>
      <c r="D453" s="43"/>
      <c r="E453" s="43"/>
      <c r="F453" s="43" t="str">
        <f>IF(B453="Egg Shop","",IF(J453="","",IFERROR(LOOKUP(2,1/(Purchases!$H$3:$H$2002=J453),Purchases!$F$3:$F$2002),"")))</f>
        <v/>
      </c>
      <c r="G453" s="43" t="str">
        <f t="shared" si="33"/>
        <v/>
      </c>
      <c r="H453" s="43" t="str">
        <f t="shared" si="34"/>
        <v/>
      </c>
      <c r="I453" s="43" t="str">
        <f t="shared" si="35"/>
        <v/>
      </c>
      <c r="J453" s="43" t="str">
        <f t="shared" si="36"/>
        <v/>
      </c>
      <c r="K453" s="43" t="str">
        <f t="shared" si="32"/>
        <v/>
      </c>
    </row>
    <row r="454" spans="1:11">
      <c r="A454" s="43"/>
      <c r="B454" s="43"/>
      <c r="C454" s="43"/>
      <c r="D454" s="43"/>
      <c r="E454" s="43"/>
      <c r="F454" s="43" t="str">
        <f>IF(B454="Egg Shop","",IF(J454="","",IFERROR(LOOKUP(2,1/(Purchases!$H$3:$H$2002=J454),Purchases!$F$3:$F$2002),"")))</f>
        <v/>
      </c>
      <c r="G454" s="43" t="str">
        <f t="shared" si="33"/>
        <v/>
      </c>
      <c r="H454" s="43" t="str">
        <f t="shared" si="34"/>
        <v/>
      </c>
      <c r="I454" s="43" t="str">
        <f t="shared" si="35"/>
        <v/>
      </c>
      <c r="J454" s="43" t="str">
        <f t="shared" si="36"/>
        <v/>
      </c>
      <c r="K454" s="43" t="str">
        <f t="shared" si="32"/>
        <v/>
      </c>
    </row>
    <row r="455" spans="1:11">
      <c r="A455" s="43"/>
      <c r="B455" s="43"/>
      <c r="C455" s="43"/>
      <c r="D455" s="43"/>
      <c r="E455" s="43"/>
      <c r="F455" s="43" t="str">
        <f>IF(B455="Egg Shop","",IF(J455="","",IFERROR(LOOKUP(2,1/(Purchases!$H$3:$H$2002=J455),Purchases!$F$3:$F$2002),"")))</f>
        <v/>
      </c>
      <c r="G455" s="43" t="str">
        <f t="shared" si="33"/>
        <v/>
      </c>
      <c r="H455" s="43" t="str">
        <f t="shared" si="34"/>
        <v/>
      </c>
      <c r="I455" s="43" t="str">
        <f t="shared" si="35"/>
        <v/>
      </c>
      <c r="J455" s="43" t="str">
        <f t="shared" si="36"/>
        <v/>
      </c>
      <c r="K455" s="43" t="str">
        <f t="shared" si="32"/>
        <v/>
      </c>
    </row>
    <row r="456" spans="1:11">
      <c r="A456" s="43"/>
      <c r="B456" s="43"/>
      <c r="C456" s="43"/>
      <c r="D456" s="43"/>
      <c r="E456" s="43"/>
      <c r="F456" s="43" t="str">
        <f>IF(B456="Egg Shop","",IF(J456="","",IFERROR(LOOKUP(2,1/(Purchases!$H$3:$H$2002=J456),Purchases!$F$3:$F$2002),"")))</f>
        <v/>
      </c>
      <c r="G456" s="43" t="str">
        <f t="shared" si="33"/>
        <v/>
      </c>
      <c r="H456" s="43" t="str">
        <f t="shared" si="34"/>
        <v/>
      </c>
      <c r="I456" s="43" t="str">
        <f t="shared" si="35"/>
        <v/>
      </c>
      <c r="J456" s="43" t="str">
        <f t="shared" si="36"/>
        <v/>
      </c>
      <c r="K456" s="43" t="str">
        <f t="shared" si="32"/>
        <v/>
      </c>
    </row>
    <row r="457" spans="1:11">
      <c r="A457" s="43"/>
      <c r="B457" s="43"/>
      <c r="C457" s="43"/>
      <c r="D457" s="43"/>
      <c r="E457" s="43"/>
      <c r="F457" s="43" t="str">
        <f>IF(B457="Egg Shop","",IF(J457="","",IFERROR(LOOKUP(2,1/(Purchases!$H$3:$H$2002=J457),Purchases!$F$3:$F$2002),"")))</f>
        <v/>
      </c>
      <c r="G457" s="43" t="str">
        <f t="shared" si="33"/>
        <v/>
      </c>
      <c r="H457" s="43" t="str">
        <f t="shared" si="34"/>
        <v/>
      </c>
      <c r="I457" s="43" t="str">
        <f t="shared" si="35"/>
        <v/>
      </c>
      <c r="J457" s="43" t="str">
        <f t="shared" si="36"/>
        <v/>
      </c>
      <c r="K457" s="43" t="str">
        <f t="shared" si="32"/>
        <v/>
      </c>
    </row>
    <row r="458" spans="1:11">
      <c r="A458" s="43"/>
      <c r="B458" s="43"/>
      <c r="C458" s="43"/>
      <c r="D458" s="43"/>
      <c r="E458" s="43"/>
      <c r="F458" s="43" t="str">
        <f>IF(B458="Egg Shop","",IF(J458="","",IFERROR(LOOKUP(2,1/(Purchases!$H$3:$H$2002=J458),Purchases!$F$3:$F$2002),"")))</f>
        <v/>
      </c>
      <c r="G458" s="43" t="str">
        <f t="shared" si="33"/>
        <v/>
      </c>
      <c r="H458" s="43" t="str">
        <f t="shared" si="34"/>
        <v/>
      </c>
      <c r="I458" s="43" t="str">
        <f t="shared" si="35"/>
        <v/>
      </c>
      <c r="J458" s="43" t="str">
        <f t="shared" si="36"/>
        <v/>
      </c>
      <c r="K458" s="43" t="str">
        <f t="shared" si="32"/>
        <v/>
      </c>
    </row>
    <row r="459" spans="1:11">
      <c r="A459" s="43"/>
      <c r="B459" s="43"/>
      <c r="C459" s="43"/>
      <c r="D459" s="43"/>
      <c r="E459" s="43"/>
      <c r="F459" s="43" t="str">
        <f>IF(B459="Egg Shop","",IF(J459="","",IFERROR(LOOKUP(2,1/(Purchases!$H$3:$H$2002=J459),Purchases!$F$3:$F$2002),"")))</f>
        <v/>
      </c>
      <c r="G459" s="43" t="str">
        <f t="shared" si="33"/>
        <v/>
      </c>
      <c r="H459" s="43" t="str">
        <f t="shared" si="34"/>
        <v/>
      </c>
      <c r="I459" s="43" t="str">
        <f t="shared" si="35"/>
        <v/>
      </c>
      <c r="J459" s="43" t="str">
        <f t="shared" si="36"/>
        <v/>
      </c>
      <c r="K459" s="43" t="str">
        <f t="shared" si="32"/>
        <v/>
      </c>
    </row>
    <row r="460" spans="1:11">
      <c r="A460" s="43"/>
      <c r="B460" s="43"/>
      <c r="C460" s="43"/>
      <c r="D460" s="43"/>
      <c r="E460" s="43"/>
      <c r="F460" s="43" t="str">
        <f>IF(B460="Egg Shop","",IF(J460="","",IFERROR(LOOKUP(2,1/(Purchases!$H$3:$H$2002=J460),Purchases!$F$3:$F$2002),"")))</f>
        <v/>
      </c>
      <c r="G460" s="43" t="str">
        <f t="shared" si="33"/>
        <v/>
      </c>
      <c r="H460" s="43" t="str">
        <f t="shared" si="34"/>
        <v/>
      </c>
      <c r="I460" s="43" t="str">
        <f t="shared" si="35"/>
        <v/>
      </c>
      <c r="J460" s="43" t="str">
        <f t="shared" si="36"/>
        <v/>
      </c>
      <c r="K460" s="43" t="str">
        <f t="shared" si="32"/>
        <v/>
      </c>
    </row>
    <row r="461" spans="1:11">
      <c r="A461" s="43"/>
      <c r="B461" s="43"/>
      <c r="C461" s="43"/>
      <c r="D461" s="43"/>
      <c r="E461" s="43"/>
      <c r="F461" s="43" t="str">
        <f>IF(B461="Egg Shop","",IF(J461="","",IFERROR(LOOKUP(2,1/(Purchases!$H$3:$H$2002=J461),Purchases!$F$3:$F$2002),"")))</f>
        <v/>
      </c>
      <c r="G461" s="43" t="str">
        <f t="shared" si="33"/>
        <v/>
      </c>
      <c r="H461" s="43" t="str">
        <f t="shared" si="34"/>
        <v/>
      </c>
      <c r="I461" s="43" t="str">
        <f t="shared" si="35"/>
        <v/>
      </c>
      <c r="J461" s="43" t="str">
        <f t="shared" si="36"/>
        <v/>
      </c>
      <c r="K461" s="43" t="str">
        <f t="shared" si="32"/>
        <v/>
      </c>
    </row>
    <row r="462" spans="1:11">
      <c r="A462" s="43"/>
      <c r="B462" s="43"/>
      <c r="C462" s="43"/>
      <c r="D462" s="43"/>
      <c r="E462" s="43"/>
      <c r="F462" s="43" t="str">
        <f>IF(B462="Egg Shop","",IF(J462="","",IFERROR(LOOKUP(2,1/(Purchases!$H$3:$H$2002=J462),Purchases!$F$3:$F$2002),"")))</f>
        <v/>
      </c>
      <c r="G462" s="43" t="str">
        <f t="shared" si="33"/>
        <v/>
      </c>
      <c r="H462" s="43" t="str">
        <f t="shared" si="34"/>
        <v/>
      </c>
      <c r="I462" s="43" t="str">
        <f t="shared" si="35"/>
        <v/>
      </c>
      <c r="J462" s="43" t="str">
        <f t="shared" si="36"/>
        <v/>
      </c>
      <c r="K462" s="43" t="str">
        <f t="shared" si="32"/>
        <v/>
      </c>
    </row>
    <row r="463" spans="1:11">
      <c r="A463" s="43"/>
      <c r="B463" s="43"/>
      <c r="C463" s="43"/>
      <c r="D463" s="43"/>
      <c r="E463" s="43"/>
      <c r="F463" s="43" t="str">
        <f>IF(B463="Egg Shop","",IF(J463="","",IFERROR(LOOKUP(2,1/(Purchases!$H$3:$H$2002=J463),Purchases!$F$3:$F$2002),"")))</f>
        <v/>
      </c>
      <c r="G463" s="43" t="str">
        <f t="shared" si="33"/>
        <v/>
      </c>
      <c r="H463" s="43" t="str">
        <f t="shared" si="34"/>
        <v/>
      </c>
      <c r="I463" s="43" t="str">
        <f t="shared" si="35"/>
        <v/>
      </c>
      <c r="J463" s="43" t="str">
        <f t="shared" si="36"/>
        <v/>
      </c>
      <c r="K463" s="43" t="str">
        <f t="shared" si="32"/>
        <v/>
      </c>
    </row>
    <row r="464" spans="1:11">
      <c r="A464" s="43"/>
      <c r="B464" s="43"/>
      <c r="C464" s="43"/>
      <c r="D464" s="43"/>
      <c r="E464" s="43"/>
      <c r="F464" s="43" t="str">
        <f>IF(B464="Egg Shop","",IF(J464="","",IFERROR(LOOKUP(2,1/(Purchases!$H$3:$H$2002=J464),Purchases!$F$3:$F$2002),"")))</f>
        <v/>
      </c>
      <c r="G464" s="43" t="str">
        <f t="shared" si="33"/>
        <v/>
      </c>
      <c r="H464" s="43" t="str">
        <f t="shared" si="34"/>
        <v/>
      </c>
      <c r="I464" s="43" t="str">
        <f t="shared" si="35"/>
        <v/>
      </c>
      <c r="J464" s="43" t="str">
        <f t="shared" si="36"/>
        <v/>
      </c>
      <c r="K464" s="43" t="str">
        <f t="shared" si="32"/>
        <v/>
      </c>
    </row>
    <row r="465" spans="1:11">
      <c r="A465" s="43"/>
      <c r="B465" s="43"/>
      <c r="C465" s="43"/>
      <c r="D465" s="43"/>
      <c r="E465" s="43"/>
      <c r="F465" s="43" t="str">
        <f>IF(B465="Egg Shop","",IF(J465="","",IFERROR(LOOKUP(2,1/(Purchases!$H$3:$H$2002=J465),Purchases!$F$3:$F$2002),"")))</f>
        <v/>
      </c>
      <c r="G465" s="43" t="str">
        <f t="shared" si="33"/>
        <v/>
      </c>
      <c r="H465" s="43" t="str">
        <f t="shared" si="34"/>
        <v/>
      </c>
      <c r="I465" s="43" t="str">
        <f t="shared" si="35"/>
        <v/>
      </c>
      <c r="J465" s="43" t="str">
        <f t="shared" si="36"/>
        <v/>
      </c>
      <c r="K465" s="43" t="str">
        <f t="shared" si="32"/>
        <v/>
      </c>
    </row>
    <row r="466" spans="1:11">
      <c r="A466" s="43"/>
      <c r="B466" s="43"/>
      <c r="C466" s="43"/>
      <c r="D466" s="43"/>
      <c r="E466" s="43"/>
      <c r="F466" s="43" t="str">
        <f>IF(B466="Egg Shop","",IF(J466="","",IFERROR(LOOKUP(2,1/(Purchases!$H$3:$H$2002=J466),Purchases!$F$3:$F$2002),"")))</f>
        <v/>
      </c>
      <c r="G466" s="43" t="str">
        <f t="shared" si="33"/>
        <v/>
      </c>
      <c r="H466" s="43" t="str">
        <f t="shared" si="34"/>
        <v/>
      </c>
      <c r="I466" s="43" t="str">
        <f t="shared" si="35"/>
        <v/>
      </c>
      <c r="J466" s="43" t="str">
        <f t="shared" si="36"/>
        <v/>
      </c>
      <c r="K466" s="43" t="str">
        <f t="shared" ref="K466:K529" si="37">IF(A466&lt;&gt;"","Cash","")</f>
        <v/>
      </c>
    </row>
    <row r="467" spans="1:11">
      <c r="A467" s="43"/>
      <c r="B467" s="43"/>
      <c r="C467" s="43"/>
      <c r="D467" s="43"/>
      <c r="E467" s="43"/>
      <c r="F467" s="43" t="str">
        <f>IF(B467="Egg Shop","",IF(J467="","",IFERROR(LOOKUP(2,1/(Purchases!$H$3:$H$2002=J467),Purchases!$F$3:$F$2002),"")))</f>
        <v/>
      </c>
      <c r="G467" s="43" t="str">
        <f t="shared" si="33"/>
        <v/>
      </c>
      <c r="H467" s="43" t="str">
        <f t="shared" si="34"/>
        <v/>
      </c>
      <c r="I467" s="43" t="str">
        <f t="shared" si="35"/>
        <v/>
      </c>
      <c r="J467" s="43" t="str">
        <f t="shared" si="36"/>
        <v/>
      </c>
      <c r="K467" s="43" t="str">
        <f t="shared" si="37"/>
        <v/>
      </c>
    </row>
    <row r="468" spans="1:11">
      <c r="A468" s="43"/>
      <c r="B468" s="43"/>
      <c r="C468" s="43"/>
      <c r="D468" s="43"/>
      <c r="E468" s="43"/>
      <c r="F468" s="43" t="str">
        <f>IF(B468="Egg Shop","",IF(J468="","",IFERROR(LOOKUP(2,1/(Purchases!$H$3:$H$2002=J468),Purchases!$F$3:$F$2002),"")))</f>
        <v/>
      </c>
      <c r="G468" s="43" t="str">
        <f t="shared" si="33"/>
        <v/>
      </c>
      <c r="H468" s="43" t="str">
        <f t="shared" si="34"/>
        <v/>
      </c>
      <c r="I468" s="43" t="str">
        <f t="shared" si="35"/>
        <v/>
      </c>
      <c r="J468" s="43" t="str">
        <f t="shared" si="36"/>
        <v/>
      </c>
      <c r="K468" s="43" t="str">
        <f t="shared" si="37"/>
        <v/>
      </c>
    </row>
    <row r="469" spans="1:11">
      <c r="A469" s="43"/>
      <c r="B469" s="43"/>
      <c r="C469" s="43"/>
      <c r="D469" s="43"/>
      <c r="E469" s="43"/>
      <c r="F469" s="43" t="str">
        <f>IF(B469="Egg Shop","",IF(J469="","",IFERROR(LOOKUP(2,1/(Purchases!$H$3:$H$2002=J469),Purchases!$F$3:$F$2002),"")))</f>
        <v/>
      </c>
      <c r="G469" s="43" t="str">
        <f t="shared" si="33"/>
        <v/>
      </c>
      <c r="H469" s="43" t="str">
        <f t="shared" si="34"/>
        <v/>
      </c>
      <c r="I469" s="43" t="str">
        <f t="shared" si="35"/>
        <v/>
      </c>
      <c r="J469" s="43" t="str">
        <f t="shared" si="36"/>
        <v/>
      </c>
      <c r="K469" s="43" t="str">
        <f t="shared" si="37"/>
        <v/>
      </c>
    </row>
    <row r="470" spans="1:11">
      <c r="A470" s="43"/>
      <c r="B470" s="43"/>
      <c r="C470" s="43"/>
      <c r="D470" s="43"/>
      <c r="E470" s="43"/>
      <c r="F470" s="43" t="str">
        <f>IF(B470="Egg Shop","",IF(J470="","",IFERROR(LOOKUP(2,1/(Purchases!$H$3:$H$2002=J470),Purchases!$F$3:$F$2002),"")))</f>
        <v/>
      </c>
      <c r="G470" s="43" t="str">
        <f t="shared" si="33"/>
        <v/>
      </c>
      <c r="H470" s="43" t="str">
        <f t="shared" si="34"/>
        <v/>
      </c>
      <c r="I470" s="43" t="str">
        <f t="shared" si="35"/>
        <v/>
      </c>
      <c r="J470" s="43" t="str">
        <f t="shared" si="36"/>
        <v/>
      </c>
      <c r="K470" s="43" t="str">
        <f t="shared" si="37"/>
        <v/>
      </c>
    </row>
    <row r="471" spans="1:11">
      <c r="A471" s="43"/>
      <c r="B471" s="43"/>
      <c r="C471" s="43"/>
      <c r="D471" s="43"/>
      <c r="E471" s="43"/>
      <c r="F471" s="43" t="str">
        <f>IF(B471="Egg Shop","",IF(J471="","",IFERROR(LOOKUP(2,1/(Purchases!$H$3:$H$2002=J471),Purchases!$F$3:$F$2002),"")))</f>
        <v/>
      </c>
      <c r="G471" s="43" t="str">
        <f t="shared" si="33"/>
        <v/>
      </c>
      <c r="H471" s="43" t="str">
        <f t="shared" si="34"/>
        <v/>
      </c>
      <c r="I471" s="43" t="str">
        <f t="shared" si="35"/>
        <v/>
      </c>
      <c r="J471" s="43" t="str">
        <f t="shared" si="36"/>
        <v/>
      </c>
      <c r="K471" s="43" t="str">
        <f t="shared" si="37"/>
        <v/>
      </c>
    </row>
    <row r="472" spans="1:11">
      <c r="A472" s="43"/>
      <c r="B472" s="43"/>
      <c r="C472" s="43"/>
      <c r="D472" s="43"/>
      <c r="E472" s="43"/>
      <c r="F472" s="43" t="str">
        <f>IF(B472="Egg Shop","",IF(J472="","",IFERROR(LOOKUP(2,1/(Purchases!$H$3:$H$2002=J472),Purchases!$F$3:$F$2002),"")))</f>
        <v/>
      </c>
      <c r="G472" s="43" t="str">
        <f t="shared" si="33"/>
        <v/>
      </c>
      <c r="H472" s="43" t="str">
        <f t="shared" si="34"/>
        <v/>
      </c>
      <c r="I472" s="43" t="str">
        <f t="shared" si="35"/>
        <v/>
      </c>
      <c r="J472" s="43" t="str">
        <f t="shared" si="36"/>
        <v/>
      </c>
      <c r="K472" s="43" t="str">
        <f t="shared" si="37"/>
        <v/>
      </c>
    </row>
    <row r="473" spans="1:11">
      <c r="A473" s="43"/>
      <c r="B473" s="43"/>
      <c r="C473" s="43"/>
      <c r="D473" s="43"/>
      <c r="E473" s="43"/>
      <c r="F473" s="43" t="str">
        <f>IF(B473="Egg Shop","",IF(J473="","",IFERROR(LOOKUP(2,1/(Purchases!$H$3:$H$2002=J473),Purchases!$F$3:$F$2002),"")))</f>
        <v/>
      </c>
      <c r="G473" s="43" t="str">
        <f t="shared" si="33"/>
        <v/>
      </c>
      <c r="H473" s="43" t="str">
        <f t="shared" si="34"/>
        <v/>
      </c>
      <c r="I473" s="43" t="str">
        <f t="shared" si="35"/>
        <v/>
      </c>
      <c r="J473" s="43" t="str">
        <f t="shared" si="36"/>
        <v/>
      </c>
      <c r="K473" s="43" t="str">
        <f t="shared" si="37"/>
        <v/>
      </c>
    </row>
    <row r="474" spans="1:11">
      <c r="A474" s="43"/>
      <c r="B474" s="43"/>
      <c r="C474" s="43"/>
      <c r="D474" s="43"/>
      <c r="E474" s="43"/>
      <c r="F474" s="43" t="str">
        <f>IF(B474="Egg Shop","",IF(J474="","",IFERROR(LOOKUP(2,1/(Purchases!$H$3:$H$2002=J474),Purchases!$F$3:$F$2002),"")))</f>
        <v/>
      </c>
      <c r="G474" s="43" t="str">
        <f t="shared" si="33"/>
        <v/>
      </c>
      <c r="H474" s="43" t="str">
        <f t="shared" si="34"/>
        <v/>
      </c>
      <c r="I474" s="43" t="str">
        <f t="shared" si="35"/>
        <v/>
      </c>
      <c r="J474" s="43" t="str">
        <f t="shared" si="36"/>
        <v/>
      </c>
      <c r="K474" s="43" t="str">
        <f t="shared" si="37"/>
        <v/>
      </c>
    </row>
    <row r="475" spans="1:11">
      <c r="A475" s="43"/>
      <c r="B475" s="43"/>
      <c r="C475" s="43"/>
      <c r="D475" s="43"/>
      <c r="E475" s="43"/>
      <c r="F475" s="43" t="str">
        <f>IF(B475="Egg Shop","",IF(J475="","",IFERROR(LOOKUP(2,1/(Purchases!$H$3:$H$2002=J475),Purchases!$F$3:$F$2002),"")))</f>
        <v/>
      </c>
      <c r="G475" s="43" t="str">
        <f t="shared" si="33"/>
        <v/>
      </c>
      <c r="H475" s="43" t="str">
        <f t="shared" si="34"/>
        <v/>
      </c>
      <c r="I475" s="43" t="str">
        <f t="shared" si="35"/>
        <v/>
      </c>
      <c r="J475" s="43" t="str">
        <f t="shared" si="36"/>
        <v/>
      </c>
      <c r="K475" s="43" t="str">
        <f t="shared" si="37"/>
        <v/>
      </c>
    </row>
    <row r="476" spans="1:11">
      <c r="A476" s="43"/>
      <c r="B476" s="43"/>
      <c r="C476" s="43"/>
      <c r="D476" s="43"/>
      <c r="E476" s="43"/>
      <c r="F476" s="43" t="str">
        <f>IF(B476="Egg Shop","",IF(J476="","",IFERROR(LOOKUP(2,1/(Purchases!$H$3:$H$2002=J476),Purchases!$F$3:$F$2002),"")))</f>
        <v/>
      </c>
      <c r="G476" s="43" t="str">
        <f t="shared" si="33"/>
        <v/>
      </c>
      <c r="H476" s="43" t="str">
        <f t="shared" si="34"/>
        <v/>
      </c>
      <c r="I476" s="43" t="str">
        <f t="shared" si="35"/>
        <v/>
      </c>
      <c r="J476" s="43" t="str">
        <f t="shared" si="36"/>
        <v/>
      </c>
      <c r="K476" s="43" t="str">
        <f t="shared" si="37"/>
        <v/>
      </c>
    </row>
    <row r="477" spans="1:11">
      <c r="A477" s="43"/>
      <c r="B477" s="43"/>
      <c r="C477" s="43"/>
      <c r="D477" s="43"/>
      <c r="E477" s="43"/>
      <c r="F477" s="43" t="str">
        <f>IF(B477="Egg Shop","",IF(J477="","",IFERROR(LOOKUP(2,1/(Purchases!$H$3:$H$2002=J477),Purchases!$F$3:$F$2002),"")))</f>
        <v/>
      </c>
      <c r="G477" s="43" t="str">
        <f t="shared" si="33"/>
        <v/>
      </c>
      <c r="H477" s="43" t="str">
        <f t="shared" si="34"/>
        <v/>
      </c>
      <c r="I477" s="43" t="str">
        <f t="shared" si="35"/>
        <v/>
      </c>
      <c r="J477" s="43" t="str">
        <f t="shared" si="36"/>
        <v/>
      </c>
      <c r="K477" s="43" t="str">
        <f t="shared" si="37"/>
        <v/>
      </c>
    </row>
    <row r="478" spans="1:11">
      <c r="A478" s="43"/>
      <c r="B478" s="43"/>
      <c r="C478" s="43"/>
      <c r="D478" s="43"/>
      <c r="E478" s="43"/>
      <c r="F478" s="43" t="str">
        <f>IF(B478="Egg Shop","",IF(J478="","",IFERROR(LOOKUP(2,1/(Purchases!$H$3:$H$2002=J478),Purchases!$F$3:$F$2002),"")))</f>
        <v/>
      </c>
      <c r="G478" s="43" t="str">
        <f t="shared" si="33"/>
        <v/>
      </c>
      <c r="H478" s="43" t="str">
        <f t="shared" si="34"/>
        <v/>
      </c>
      <c r="I478" s="43" t="str">
        <f t="shared" si="35"/>
        <v/>
      </c>
      <c r="J478" s="43" t="str">
        <f t="shared" si="36"/>
        <v/>
      </c>
      <c r="K478" s="43" t="str">
        <f t="shared" si="37"/>
        <v/>
      </c>
    </row>
    <row r="479" spans="1:11">
      <c r="A479" s="43"/>
      <c r="B479" s="43"/>
      <c r="C479" s="43"/>
      <c r="D479" s="43"/>
      <c r="E479" s="43"/>
      <c r="F479" s="43" t="str">
        <f>IF(B479="Egg Shop","",IF(J479="","",IFERROR(LOOKUP(2,1/(Purchases!$H$3:$H$2002=J479),Purchases!$F$3:$F$2002),"")))</f>
        <v/>
      </c>
      <c r="G479" s="43" t="str">
        <f t="shared" si="33"/>
        <v/>
      </c>
      <c r="H479" s="43" t="str">
        <f t="shared" si="34"/>
        <v/>
      </c>
      <c r="I479" s="43" t="str">
        <f t="shared" si="35"/>
        <v/>
      </c>
      <c r="J479" s="43" t="str">
        <f t="shared" si="36"/>
        <v/>
      </c>
      <c r="K479" s="43" t="str">
        <f t="shared" si="37"/>
        <v/>
      </c>
    </row>
    <row r="480" spans="1:11">
      <c r="A480" s="43"/>
      <c r="B480" s="43"/>
      <c r="C480" s="43"/>
      <c r="D480" s="43"/>
      <c r="E480" s="43"/>
      <c r="F480" s="43" t="str">
        <f>IF(B480="Egg Shop","",IF(J480="","",IFERROR(LOOKUP(2,1/(Purchases!$H$3:$H$2002=J480),Purchases!$F$3:$F$2002),"")))</f>
        <v/>
      </c>
      <c r="G480" s="43" t="str">
        <f t="shared" si="33"/>
        <v/>
      </c>
      <c r="H480" s="43" t="str">
        <f t="shared" si="34"/>
        <v/>
      </c>
      <c r="I480" s="43" t="str">
        <f t="shared" si="35"/>
        <v/>
      </c>
      <c r="J480" s="43" t="str">
        <f t="shared" si="36"/>
        <v/>
      </c>
      <c r="K480" s="43" t="str">
        <f t="shared" si="37"/>
        <v/>
      </c>
    </row>
    <row r="481" spans="1:11">
      <c r="A481" s="43"/>
      <c r="B481" s="43"/>
      <c r="C481" s="43"/>
      <c r="D481" s="43"/>
      <c r="E481" s="43"/>
      <c r="F481" s="43" t="str">
        <f>IF(B481="Egg Shop","",IF(J481="","",IFERROR(LOOKUP(2,1/(Purchases!$H$3:$H$2002=J481),Purchases!$F$3:$F$2002),"")))</f>
        <v/>
      </c>
      <c r="G481" s="43" t="str">
        <f t="shared" si="33"/>
        <v/>
      </c>
      <c r="H481" s="43" t="str">
        <f t="shared" si="34"/>
        <v/>
      </c>
      <c r="I481" s="43" t="str">
        <f t="shared" si="35"/>
        <v/>
      </c>
      <c r="J481" s="43" t="str">
        <f t="shared" si="36"/>
        <v/>
      </c>
      <c r="K481" s="43" t="str">
        <f t="shared" si="37"/>
        <v/>
      </c>
    </row>
    <row r="482" spans="1:11">
      <c r="A482" s="43"/>
      <c r="B482" s="43"/>
      <c r="C482" s="43"/>
      <c r="D482" s="43"/>
      <c r="E482" s="43"/>
      <c r="F482" s="43" t="str">
        <f>IF(B482="Egg Shop","",IF(J482="","",IFERROR(LOOKUP(2,1/(Purchases!$H$3:$H$2002=J482),Purchases!$F$3:$F$2002),"")))</f>
        <v/>
      </c>
      <c r="G482" s="43" t="str">
        <f t="shared" si="33"/>
        <v/>
      </c>
      <c r="H482" s="43" t="str">
        <f t="shared" si="34"/>
        <v/>
      </c>
      <c r="I482" s="43" t="str">
        <f t="shared" si="35"/>
        <v/>
      </c>
      <c r="J482" s="43" t="str">
        <f t="shared" si="36"/>
        <v/>
      </c>
      <c r="K482" s="43" t="str">
        <f t="shared" si="37"/>
        <v/>
      </c>
    </row>
    <row r="483" spans="1:11">
      <c r="A483" s="43"/>
      <c r="B483" s="43"/>
      <c r="C483" s="43"/>
      <c r="D483" s="43"/>
      <c r="E483" s="43"/>
      <c r="F483" s="43" t="str">
        <f>IF(B483="Egg Shop","",IF(J483="","",IFERROR(LOOKUP(2,1/(Purchases!$H$3:$H$2002=J483),Purchases!$F$3:$F$2002),"")))</f>
        <v/>
      </c>
      <c r="G483" s="43" t="str">
        <f t="shared" si="33"/>
        <v/>
      </c>
      <c r="H483" s="43" t="str">
        <f t="shared" si="34"/>
        <v/>
      </c>
      <c r="I483" s="43" t="str">
        <f t="shared" si="35"/>
        <v/>
      </c>
      <c r="J483" s="43" t="str">
        <f t="shared" si="36"/>
        <v/>
      </c>
      <c r="K483" s="43" t="str">
        <f t="shared" si="37"/>
        <v/>
      </c>
    </row>
    <row r="484" spans="1:11">
      <c r="A484" s="43"/>
      <c r="B484" s="43"/>
      <c r="C484" s="43"/>
      <c r="D484" s="43"/>
      <c r="E484" s="43"/>
      <c r="F484" s="43" t="str">
        <f>IF(B484="Egg Shop","",IF(J484="","",IFERROR(LOOKUP(2,1/(Purchases!$H$3:$H$2002=J484),Purchases!$F$3:$F$2002),"")))</f>
        <v/>
      </c>
      <c r="G484" s="43" t="str">
        <f t="shared" si="33"/>
        <v/>
      </c>
      <c r="H484" s="43" t="str">
        <f t="shared" si="34"/>
        <v/>
      </c>
      <c r="I484" s="43" t="str">
        <f t="shared" si="35"/>
        <v/>
      </c>
      <c r="J484" s="43" t="str">
        <f t="shared" si="36"/>
        <v/>
      </c>
      <c r="K484" s="43" t="str">
        <f t="shared" si="37"/>
        <v/>
      </c>
    </row>
    <row r="485" spans="1:11">
      <c r="A485" s="43"/>
      <c r="B485" s="43"/>
      <c r="C485" s="43"/>
      <c r="D485" s="43"/>
      <c r="E485" s="43"/>
      <c r="F485" s="43" t="str">
        <f>IF(B485="Egg Shop","",IF(J485="","",IFERROR(LOOKUP(2,1/(Purchases!$H$3:$H$2002=J485),Purchases!$F$3:$F$2002),"")))</f>
        <v/>
      </c>
      <c r="G485" s="43" t="str">
        <f t="shared" si="33"/>
        <v/>
      </c>
      <c r="H485" s="43" t="str">
        <f t="shared" si="34"/>
        <v/>
      </c>
      <c r="I485" s="43" t="str">
        <f t="shared" si="35"/>
        <v/>
      </c>
      <c r="J485" s="43" t="str">
        <f t="shared" si="36"/>
        <v/>
      </c>
      <c r="K485" s="43" t="str">
        <f t="shared" si="37"/>
        <v/>
      </c>
    </row>
    <row r="486" spans="1:11">
      <c r="A486" s="43"/>
      <c r="B486" s="43"/>
      <c r="C486" s="43"/>
      <c r="D486" s="43"/>
      <c r="E486" s="43"/>
      <c r="F486" s="43" t="str">
        <f>IF(B486="Egg Shop","",IF(J486="","",IFERROR(LOOKUP(2,1/(Purchases!$H$3:$H$2002=J486),Purchases!$F$3:$F$2002),"")))</f>
        <v/>
      </c>
      <c r="G486" s="43" t="str">
        <f t="shared" si="33"/>
        <v/>
      </c>
      <c r="H486" s="43" t="str">
        <f t="shared" si="34"/>
        <v/>
      </c>
      <c r="I486" s="43" t="str">
        <f t="shared" si="35"/>
        <v/>
      </c>
      <c r="J486" s="43" t="str">
        <f t="shared" si="36"/>
        <v/>
      </c>
      <c r="K486" s="43" t="str">
        <f t="shared" si="37"/>
        <v/>
      </c>
    </row>
    <row r="487" spans="1:11">
      <c r="A487" s="43"/>
      <c r="B487" s="43"/>
      <c r="C487" s="43"/>
      <c r="D487" s="43"/>
      <c r="E487" s="43"/>
      <c r="F487" s="43" t="str">
        <f>IF(B487="Egg Shop","",IF(J487="","",IFERROR(LOOKUP(2,1/(Purchases!$H$3:$H$2002=J487),Purchases!$F$3:$F$2002),"")))</f>
        <v/>
      </c>
      <c r="G487" s="43" t="str">
        <f t="shared" si="33"/>
        <v/>
      </c>
      <c r="H487" s="43" t="str">
        <f t="shared" si="34"/>
        <v/>
      </c>
      <c r="I487" s="43" t="str">
        <f t="shared" si="35"/>
        <v/>
      </c>
      <c r="J487" s="43" t="str">
        <f t="shared" si="36"/>
        <v/>
      </c>
      <c r="K487" s="43" t="str">
        <f t="shared" si="37"/>
        <v/>
      </c>
    </row>
    <row r="488" spans="1:11">
      <c r="F488" t="str">
        <f>IF(B488="Egg Shop","",IF(J488="","",IFERROR(LOOKUP(2,1/(Purchases!$H$3:$H$2002=J488),Purchases!$F$3:$F$2002),"")))</f>
        <v/>
      </c>
      <c r="G488" t="str">
        <f t="shared" si="33"/>
        <v/>
      </c>
      <c r="H488" t="str">
        <f t="shared" si="34"/>
        <v/>
      </c>
      <c r="I488" t="str">
        <f t="shared" si="35"/>
        <v/>
      </c>
      <c r="J488" t="str">
        <f t="shared" si="36"/>
        <v/>
      </c>
      <c r="K488" t="str">
        <f t="shared" si="37"/>
        <v/>
      </c>
    </row>
    <row r="489" spans="1:11">
      <c r="F489" t="str">
        <f>IF(B489="Egg Shop","",IF(J489="","",IFERROR(LOOKUP(2,1/(Purchases!$H$3:$H$2002=J489),Purchases!$F$3:$F$2002),"")))</f>
        <v/>
      </c>
      <c r="G489" t="str">
        <f t="shared" si="33"/>
        <v/>
      </c>
      <c r="H489" t="str">
        <f t="shared" si="34"/>
        <v/>
      </c>
      <c r="I489" t="str">
        <f t="shared" si="35"/>
        <v/>
      </c>
      <c r="J489" t="str">
        <f t="shared" si="36"/>
        <v/>
      </c>
      <c r="K489" t="str">
        <f t="shared" si="37"/>
        <v/>
      </c>
    </row>
    <row r="490" spans="1:11">
      <c r="F490" t="str">
        <f>IF(B490="Egg Shop","",IF(J490="","",IFERROR(LOOKUP(2,1/(Purchases!$H$3:$H$2002=J490),Purchases!$F$3:$F$2002),"")))</f>
        <v/>
      </c>
      <c r="G490" t="str">
        <f t="shared" si="33"/>
        <v/>
      </c>
      <c r="H490" t="str">
        <f t="shared" si="34"/>
        <v/>
      </c>
      <c r="I490" t="str">
        <f t="shared" si="35"/>
        <v/>
      </c>
      <c r="J490" t="str">
        <f t="shared" si="36"/>
        <v/>
      </c>
      <c r="K490" t="str">
        <f t="shared" si="37"/>
        <v/>
      </c>
    </row>
    <row r="491" spans="1:11">
      <c r="F491" t="str">
        <f>IF(B491="Egg Shop","",IF(J491="","",IFERROR(LOOKUP(2,1/(Purchases!$H$3:$H$2002=J491),Purchases!$F$3:$F$2002),"")))</f>
        <v/>
      </c>
      <c r="G491" t="str">
        <f t="shared" si="33"/>
        <v/>
      </c>
      <c r="H491" t="str">
        <f t="shared" si="34"/>
        <v/>
      </c>
      <c r="I491" t="str">
        <f t="shared" si="35"/>
        <v/>
      </c>
      <c r="J491" t="str">
        <f t="shared" si="36"/>
        <v/>
      </c>
      <c r="K491" t="str">
        <f t="shared" si="37"/>
        <v/>
      </c>
    </row>
    <row r="492" spans="1:11">
      <c r="F492" t="str">
        <f>IF(B492="Egg Shop","",IF(J492="","",IFERROR(LOOKUP(2,1/(Purchases!$H$3:$H$2002=J492),Purchases!$F$3:$F$2002),"")))</f>
        <v/>
      </c>
      <c r="G492" t="str">
        <f t="shared" si="33"/>
        <v/>
      </c>
      <c r="H492" t="str">
        <f t="shared" si="34"/>
        <v/>
      </c>
      <c r="I492" t="str">
        <f t="shared" si="35"/>
        <v/>
      </c>
      <c r="J492" t="str">
        <f t="shared" si="36"/>
        <v/>
      </c>
      <c r="K492" t="str">
        <f t="shared" si="37"/>
        <v/>
      </c>
    </row>
    <row r="493" spans="1:11">
      <c r="F493" t="str">
        <f>IF(B493="Egg Shop","",IF(J493="","",IFERROR(LOOKUP(2,1/(Purchases!$H$3:$H$2002=J493),Purchases!$F$3:$F$2002),"")))</f>
        <v/>
      </c>
      <c r="G493" t="str">
        <f t="shared" si="33"/>
        <v/>
      </c>
      <c r="H493" t="str">
        <f t="shared" si="34"/>
        <v/>
      </c>
      <c r="I493" t="str">
        <f t="shared" si="35"/>
        <v/>
      </c>
      <c r="J493" t="str">
        <f t="shared" si="36"/>
        <v/>
      </c>
      <c r="K493" t="str">
        <f t="shared" si="37"/>
        <v/>
      </c>
    </row>
    <row r="494" spans="1:11">
      <c r="F494" t="str">
        <f>IF(B494="Egg Shop","",IF(J494="","",IFERROR(LOOKUP(2,1/(Purchases!$H$3:$H$2002=J494),Purchases!$F$3:$F$2002),"")))</f>
        <v/>
      </c>
      <c r="G494" t="str">
        <f t="shared" si="33"/>
        <v/>
      </c>
      <c r="H494" t="str">
        <f t="shared" si="34"/>
        <v/>
      </c>
      <c r="I494" t="str">
        <f t="shared" si="35"/>
        <v/>
      </c>
      <c r="J494" t="str">
        <f t="shared" si="36"/>
        <v/>
      </c>
      <c r="K494" t="str">
        <f t="shared" si="37"/>
        <v/>
      </c>
    </row>
    <row r="495" spans="1:11">
      <c r="F495" t="str">
        <f>IF(B495="Egg Shop","",IF(J495="","",IFERROR(LOOKUP(2,1/(Purchases!$H$3:$H$2002=J495),Purchases!$F$3:$F$2002),"")))</f>
        <v/>
      </c>
      <c r="G495" t="str">
        <f t="shared" si="33"/>
        <v/>
      </c>
      <c r="H495" t="str">
        <f t="shared" si="34"/>
        <v/>
      </c>
      <c r="I495" t="str">
        <f t="shared" si="35"/>
        <v/>
      </c>
      <c r="J495" t="str">
        <f t="shared" si="36"/>
        <v/>
      </c>
      <c r="K495" t="str">
        <f t="shared" si="37"/>
        <v/>
      </c>
    </row>
    <row r="496" spans="1:11">
      <c r="F496" t="str">
        <f>IF(B496="Egg Shop","",IF(J496="","",IFERROR(LOOKUP(2,1/(Purchases!$H$3:$H$2002=J496),Purchases!$F$3:$F$2002),"")))</f>
        <v/>
      </c>
      <c r="G496" t="str">
        <f t="shared" si="33"/>
        <v/>
      </c>
      <c r="H496" t="str">
        <f t="shared" si="34"/>
        <v/>
      </c>
      <c r="I496" t="str">
        <f t="shared" si="35"/>
        <v/>
      </c>
      <c r="J496" t="str">
        <f t="shared" si="36"/>
        <v/>
      </c>
      <c r="K496" t="str">
        <f t="shared" si="37"/>
        <v/>
      </c>
    </row>
    <row r="497" spans="6:11">
      <c r="F497" t="str">
        <f>IF(B497="Egg Shop","",IF(J497="","",IFERROR(LOOKUP(2,1/(Purchases!$H$3:$H$2002=J497),Purchases!$F$3:$F$2002),"")))</f>
        <v/>
      </c>
      <c r="G497" t="str">
        <f t="shared" si="33"/>
        <v/>
      </c>
      <c r="H497" t="str">
        <f t="shared" si="34"/>
        <v/>
      </c>
      <c r="I497" t="str">
        <f t="shared" si="35"/>
        <v/>
      </c>
      <c r="J497" t="str">
        <f t="shared" si="36"/>
        <v/>
      </c>
      <c r="K497" t="str">
        <f t="shared" si="37"/>
        <v/>
      </c>
    </row>
    <row r="498" spans="6:11">
      <c r="F498" t="str">
        <f>IF(B498="Egg Shop","",IF(J498="","",IFERROR(LOOKUP(2,1/(Purchases!$H$3:$H$2002=J498),Purchases!$F$3:$F$2002),"")))</f>
        <v/>
      </c>
      <c r="G498" t="str">
        <f t="shared" si="33"/>
        <v/>
      </c>
      <c r="H498" t="str">
        <f t="shared" si="34"/>
        <v/>
      </c>
      <c r="I498" t="str">
        <f t="shared" si="35"/>
        <v/>
      </c>
      <c r="J498" t="str">
        <f t="shared" si="36"/>
        <v/>
      </c>
      <c r="K498" t="str">
        <f t="shared" si="37"/>
        <v/>
      </c>
    </row>
    <row r="499" spans="6:11">
      <c r="F499" t="str">
        <f>IF(B499="Egg Shop","",IF(J499="","",IFERROR(LOOKUP(2,1/(Purchases!$H$3:$H$2002=J499),Purchases!$F$3:$F$2002),"")))</f>
        <v/>
      </c>
      <c r="G499" t="str">
        <f t="shared" si="33"/>
        <v/>
      </c>
      <c r="H499" t="str">
        <f t="shared" si="34"/>
        <v/>
      </c>
      <c r="I499" t="str">
        <f t="shared" si="35"/>
        <v/>
      </c>
      <c r="J499" t="str">
        <f t="shared" si="36"/>
        <v/>
      </c>
      <c r="K499" t="str">
        <f t="shared" si="37"/>
        <v/>
      </c>
    </row>
    <row r="500" spans="6:11">
      <c r="F500" t="str">
        <f>IF(B500="Egg Shop","",IF(J500="","",IFERROR(LOOKUP(2,1/(Purchases!$H$3:$H$2002=J500),Purchases!$F$3:$F$2002),"")))</f>
        <v/>
      </c>
      <c r="G500" t="str">
        <f t="shared" si="33"/>
        <v/>
      </c>
      <c r="H500" t="str">
        <f t="shared" si="34"/>
        <v/>
      </c>
      <c r="I500" t="str">
        <f t="shared" si="35"/>
        <v/>
      </c>
      <c r="J500" t="str">
        <f t="shared" si="36"/>
        <v/>
      </c>
      <c r="K500" t="str">
        <f t="shared" si="37"/>
        <v/>
      </c>
    </row>
    <row r="501" spans="6:11">
      <c r="F501" t="str">
        <f>IF(B501="Egg Shop","",IF(J501="","",IFERROR(LOOKUP(2,1/(Purchases!$H$3:$H$2002=J501),Purchases!$F$3:$F$2002),"")))</f>
        <v/>
      </c>
      <c r="G501" t="str">
        <f t="shared" si="33"/>
        <v/>
      </c>
      <c r="H501" t="str">
        <f t="shared" si="34"/>
        <v/>
      </c>
      <c r="I501" t="str">
        <f t="shared" si="35"/>
        <v/>
      </c>
      <c r="J501" t="str">
        <f t="shared" si="36"/>
        <v/>
      </c>
      <c r="K501" t="str">
        <f t="shared" si="37"/>
        <v/>
      </c>
    </row>
    <row r="502" spans="6:11">
      <c r="F502" t="str">
        <f>IF(B502="Egg Shop","",IF(J502="","",IFERROR(LOOKUP(2,1/(Purchases!$H$3:$H$2002=J502),Purchases!$F$3:$F$2002),"")))</f>
        <v/>
      </c>
      <c r="G502" t="str">
        <f t="shared" si="33"/>
        <v/>
      </c>
      <c r="H502" t="str">
        <f t="shared" si="34"/>
        <v/>
      </c>
      <c r="I502" t="str">
        <f t="shared" si="35"/>
        <v/>
      </c>
      <c r="J502" t="str">
        <f t="shared" si="36"/>
        <v/>
      </c>
      <c r="K502" t="str">
        <f t="shared" si="37"/>
        <v/>
      </c>
    </row>
    <row r="503" spans="6:11">
      <c r="F503" t="str">
        <f>IF(B503="Egg Shop","",IF(J503="","",IFERROR(LOOKUP(2,1/(Purchases!$H$3:$H$2002=J503),Purchases!$F$3:$F$2002),"")))</f>
        <v/>
      </c>
      <c r="G503" t="str">
        <f t="shared" si="33"/>
        <v/>
      </c>
      <c r="H503" t="str">
        <f t="shared" si="34"/>
        <v/>
      </c>
      <c r="I503" t="str">
        <f t="shared" si="35"/>
        <v/>
      </c>
      <c r="J503" t="str">
        <f t="shared" si="36"/>
        <v/>
      </c>
      <c r="K503" t="str">
        <f t="shared" si="37"/>
        <v/>
      </c>
    </row>
    <row r="504" spans="6:11">
      <c r="F504" t="str">
        <f>IF(B504="Egg Shop","",IF(J504="","",IFERROR(LOOKUP(2,1/(Purchases!$H$3:$H$2002=J504),Purchases!$F$3:$F$2002),"")))</f>
        <v/>
      </c>
      <c r="G504" t="str">
        <f t="shared" si="33"/>
        <v/>
      </c>
      <c r="H504" t="str">
        <f t="shared" si="34"/>
        <v/>
      </c>
      <c r="I504" t="str">
        <f t="shared" si="35"/>
        <v/>
      </c>
      <c r="J504" t="str">
        <f t="shared" si="36"/>
        <v/>
      </c>
      <c r="K504" t="str">
        <f t="shared" si="37"/>
        <v/>
      </c>
    </row>
    <row r="505" spans="6:11">
      <c r="F505" t="str">
        <f>IF(B505="Egg Shop","",IF(J505="","",IFERROR(LOOKUP(2,1/(Purchases!$H$3:$H$2002=J505),Purchases!$F$3:$F$2002),"")))</f>
        <v/>
      </c>
      <c r="G505" t="str">
        <f t="shared" si="33"/>
        <v/>
      </c>
      <c r="H505" t="str">
        <f t="shared" si="34"/>
        <v/>
      </c>
      <c r="I505" t="str">
        <f t="shared" si="35"/>
        <v/>
      </c>
      <c r="J505" t="str">
        <f t="shared" si="36"/>
        <v/>
      </c>
      <c r="K505" t="str">
        <f t="shared" si="37"/>
        <v/>
      </c>
    </row>
    <row r="506" spans="6:11">
      <c r="F506" t="str">
        <f>IF(B506="Egg Shop","",IF(J506="","",IFERROR(LOOKUP(2,1/(Purchases!$H$3:$H$2002=J506),Purchases!$F$3:$F$2002),"")))</f>
        <v/>
      </c>
      <c r="G506" t="str">
        <f t="shared" si="33"/>
        <v/>
      </c>
      <c r="H506" t="str">
        <f t="shared" si="34"/>
        <v/>
      </c>
      <c r="I506" t="str">
        <f t="shared" si="35"/>
        <v/>
      </c>
      <c r="J506" t="str">
        <f t="shared" si="36"/>
        <v/>
      </c>
      <c r="K506" t="str">
        <f t="shared" si="37"/>
        <v/>
      </c>
    </row>
    <row r="507" spans="6:11">
      <c r="F507" t="str">
        <f>IF(B507="Egg Shop","",IF(J507="","",IFERROR(LOOKUP(2,1/(Purchases!$H$3:$H$2002=J507),Purchases!$F$3:$F$2002),"")))</f>
        <v/>
      </c>
      <c r="G507" t="str">
        <f t="shared" si="33"/>
        <v/>
      </c>
      <c r="H507" t="str">
        <f t="shared" si="34"/>
        <v/>
      </c>
      <c r="I507" t="str">
        <f t="shared" si="35"/>
        <v/>
      </c>
      <c r="J507" t="str">
        <f t="shared" si="36"/>
        <v/>
      </c>
      <c r="K507" t="str">
        <f t="shared" si="37"/>
        <v/>
      </c>
    </row>
    <row r="508" spans="6:11">
      <c r="F508" t="str">
        <f>IF(B508="Egg Shop","",IF(J508="","",IFERROR(LOOKUP(2,1/(Purchases!$H$3:$H$2002=J508),Purchases!$F$3:$F$2002),"")))</f>
        <v/>
      </c>
      <c r="G508" t="str">
        <f t="shared" si="33"/>
        <v/>
      </c>
      <c r="H508" t="str">
        <f t="shared" si="34"/>
        <v/>
      </c>
      <c r="I508" t="str">
        <f t="shared" si="35"/>
        <v/>
      </c>
      <c r="J508" t="str">
        <f t="shared" si="36"/>
        <v/>
      </c>
      <c r="K508" t="str">
        <f t="shared" si="37"/>
        <v/>
      </c>
    </row>
    <row r="509" spans="6:11">
      <c r="F509" t="str">
        <f>IF(B509="Egg Shop","",IF(J509="","",IFERROR(LOOKUP(2,1/(Purchases!$H$3:$H$2002=J509),Purchases!$F$3:$F$2002),"")))</f>
        <v/>
      </c>
      <c r="G509" t="str">
        <f t="shared" si="33"/>
        <v/>
      </c>
      <c r="H509" t="str">
        <f t="shared" si="34"/>
        <v/>
      </c>
      <c r="I509" t="str">
        <f t="shared" si="35"/>
        <v/>
      </c>
      <c r="J509" t="str">
        <f t="shared" si="36"/>
        <v/>
      </c>
      <c r="K509" t="str">
        <f t="shared" si="37"/>
        <v/>
      </c>
    </row>
    <row r="510" spans="6:11">
      <c r="F510" t="str">
        <f>IF(B510="Egg Shop","",IF(J510="","",IFERROR(LOOKUP(2,1/(Purchases!$H$3:$H$2002=J510),Purchases!$F$3:$F$2002),"")))</f>
        <v/>
      </c>
      <c r="G510" t="str">
        <f t="shared" si="33"/>
        <v/>
      </c>
      <c r="H510" t="str">
        <f t="shared" si="34"/>
        <v/>
      </c>
      <c r="I510" t="str">
        <f t="shared" si="35"/>
        <v/>
      </c>
      <c r="J510" t="str">
        <f t="shared" si="36"/>
        <v/>
      </c>
      <c r="K510" t="str">
        <f t="shared" si="37"/>
        <v/>
      </c>
    </row>
    <row r="511" spans="6:11">
      <c r="F511" t="str">
        <f>IF(B511="Egg Shop","",IF(J511="","",IFERROR(LOOKUP(2,1/(Purchases!$H$3:$H$2002=J511),Purchases!$F$3:$F$2002),"")))</f>
        <v/>
      </c>
      <c r="G511" t="str">
        <f t="shared" si="33"/>
        <v/>
      </c>
      <c r="H511" t="str">
        <f t="shared" si="34"/>
        <v/>
      </c>
      <c r="I511" t="str">
        <f t="shared" si="35"/>
        <v/>
      </c>
      <c r="J511" t="str">
        <f t="shared" si="36"/>
        <v/>
      </c>
      <c r="K511" t="str">
        <f t="shared" si="37"/>
        <v/>
      </c>
    </row>
    <row r="512" spans="6:11">
      <c r="F512" t="str">
        <f>IF(B512="Egg Shop","",IF(J512="","",IFERROR(LOOKUP(2,1/(Purchases!$H$3:$H$2002=J512),Purchases!$F$3:$F$2002),"")))</f>
        <v/>
      </c>
      <c r="G512" t="str">
        <f t="shared" si="33"/>
        <v/>
      </c>
      <c r="H512" t="str">
        <f t="shared" si="34"/>
        <v/>
      </c>
      <c r="I512" t="str">
        <f t="shared" si="35"/>
        <v/>
      </c>
      <c r="J512" t="str">
        <f t="shared" si="36"/>
        <v/>
      </c>
      <c r="K512" t="str">
        <f t="shared" si="37"/>
        <v/>
      </c>
    </row>
    <row r="513" spans="6:11">
      <c r="F513" t="str">
        <f>IF(B513="Egg Shop","",IF(J513="","",IFERROR(LOOKUP(2,1/(Purchases!$H$3:$H$2002=J513),Purchases!$F$3:$F$2002),"")))</f>
        <v/>
      </c>
      <c r="G513" t="str">
        <f t="shared" si="33"/>
        <v/>
      </c>
      <c r="H513" t="str">
        <f t="shared" si="34"/>
        <v/>
      </c>
      <c r="I513" t="str">
        <f t="shared" si="35"/>
        <v/>
      </c>
      <c r="J513" t="str">
        <f t="shared" si="36"/>
        <v/>
      </c>
      <c r="K513" t="str">
        <f t="shared" si="37"/>
        <v/>
      </c>
    </row>
    <row r="514" spans="6:11">
      <c r="F514" t="str">
        <f>IF(B514="Egg Shop","",IF(J514="","",IFERROR(LOOKUP(2,1/(Purchases!$H$3:$H$2002=J514),Purchases!$F$3:$F$2002),"")))</f>
        <v/>
      </c>
      <c r="G514" t="str">
        <f t="shared" si="33"/>
        <v/>
      </c>
      <c r="H514" t="str">
        <f t="shared" si="34"/>
        <v/>
      </c>
      <c r="I514" t="str">
        <f t="shared" si="35"/>
        <v/>
      </c>
      <c r="J514" t="str">
        <f t="shared" si="36"/>
        <v/>
      </c>
      <c r="K514" t="str">
        <f t="shared" si="37"/>
        <v/>
      </c>
    </row>
    <row r="515" spans="6:11">
      <c r="F515" t="str">
        <f>IF(B515="Egg Shop","",IF(J515="","",IFERROR(LOOKUP(2,1/(Purchases!$H$3:$H$2002=J515),Purchases!$F$3:$F$2002),"")))</f>
        <v/>
      </c>
      <c r="G515" t="str">
        <f t="shared" ref="G515:G578" si="38">IF(OR(D515="",E515=""),"",D515*E515)</f>
        <v/>
      </c>
      <c r="H515" t="str">
        <f t="shared" ref="H515:H578" si="39">IF(OR(D515="",F515=""),"",D515*F515)</f>
        <v/>
      </c>
      <c r="I515" t="str">
        <f t="shared" ref="I515:I578" si="40">IF(OR(G515="",H515=""),"",G515-H515)</f>
        <v/>
      </c>
      <c r="J515" t="str">
        <f t="shared" ref="J515:J578" si="41">IF(OR(B515="",C515=""),"",B515&amp;"|"&amp;C515)</f>
        <v/>
      </c>
      <c r="K515" t="str">
        <f t="shared" si="37"/>
        <v/>
      </c>
    </row>
    <row r="516" spans="6:11">
      <c r="F516" t="str">
        <f>IF(B516="Egg Shop","",IF(J516="","",IFERROR(LOOKUP(2,1/(Purchases!$H$3:$H$2002=J516),Purchases!$F$3:$F$2002),"")))</f>
        <v/>
      </c>
      <c r="G516" t="str">
        <f t="shared" si="38"/>
        <v/>
      </c>
      <c r="H516" t="str">
        <f t="shared" si="39"/>
        <v/>
      </c>
      <c r="I516" t="str">
        <f t="shared" si="40"/>
        <v/>
      </c>
      <c r="J516" t="str">
        <f t="shared" si="41"/>
        <v/>
      </c>
      <c r="K516" t="str">
        <f t="shared" si="37"/>
        <v/>
      </c>
    </row>
    <row r="517" spans="6:11">
      <c r="F517" t="str">
        <f>IF(B517="Egg Shop","",IF(J517="","",IFERROR(LOOKUP(2,1/(Purchases!$H$3:$H$2002=J517),Purchases!$F$3:$F$2002),"")))</f>
        <v/>
      </c>
      <c r="G517" t="str">
        <f t="shared" si="38"/>
        <v/>
      </c>
      <c r="H517" t="str">
        <f t="shared" si="39"/>
        <v/>
      </c>
      <c r="I517" t="str">
        <f t="shared" si="40"/>
        <v/>
      </c>
      <c r="J517" t="str">
        <f t="shared" si="41"/>
        <v/>
      </c>
      <c r="K517" t="str">
        <f t="shared" si="37"/>
        <v/>
      </c>
    </row>
    <row r="518" spans="6:11">
      <c r="F518" t="str">
        <f>IF(B518="Egg Shop","",IF(J518="","",IFERROR(LOOKUP(2,1/(Purchases!$H$3:$H$2002=J518),Purchases!$F$3:$F$2002),"")))</f>
        <v/>
      </c>
      <c r="G518" t="str">
        <f t="shared" si="38"/>
        <v/>
      </c>
      <c r="H518" t="str">
        <f t="shared" si="39"/>
        <v/>
      </c>
      <c r="I518" t="str">
        <f t="shared" si="40"/>
        <v/>
      </c>
      <c r="J518" t="str">
        <f t="shared" si="41"/>
        <v/>
      </c>
      <c r="K518" t="str">
        <f t="shared" si="37"/>
        <v/>
      </c>
    </row>
    <row r="519" spans="6:11">
      <c r="F519" t="str">
        <f>IF(B519="Egg Shop","",IF(J519="","",IFERROR(LOOKUP(2,1/(Purchases!$H$3:$H$2002=J519),Purchases!$F$3:$F$2002),"")))</f>
        <v/>
      </c>
      <c r="G519" t="str">
        <f t="shared" si="38"/>
        <v/>
      </c>
      <c r="H519" t="str">
        <f t="shared" si="39"/>
        <v/>
      </c>
      <c r="I519" t="str">
        <f t="shared" si="40"/>
        <v/>
      </c>
      <c r="J519" t="str">
        <f t="shared" si="41"/>
        <v/>
      </c>
      <c r="K519" t="str">
        <f t="shared" si="37"/>
        <v/>
      </c>
    </row>
    <row r="520" spans="6:11">
      <c r="F520" t="str">
        <f>IF(B520="Egg Shop","",IF(J520="","",IFERROR(LOOKUP(2,1/(Purchases!$H$3:$H$2002=J520),Purchases!$F$3:$F$2002),"")))</f>
        <v/>
      </c>
      <c r="G520" t="str">
        <f t="shared" si="38"/>
        <v/>
      </c>
      <c r="H520" t="str">
        <f t="shared" si="39"/>
        <v/>
      </c>
      <c r="I520" t="str">
        <f t="shared" si="40"/>
        <v/>
      </c>
      <c r="J520" t="str">
        <f t="shared" si="41"/>
        <v/>
      </c>
      <c r="K520" t="str">
        <f t="shared" si="37"/>
        <v/>
      </c>
    </row>
    <row r="521" spans="6:11">
      <c r="F521" t="str">
        <f>IF(B521="Egg Shop","",IF(J521="","",IFERROR(LOOKUP(2,1/(Purchases!$H$3:$H$2002=J521),Purchases!$F$3:$F$2002),"")))</f>
        <v/>
      </c>
      <c r="G521" t="str">
        <f t="shared" si="38"/>
        <v/>
      </c>
      <c r="H521" t="str">
        <f t="shared" si="39"/>
        <v/>
      </c>
      <c r="I521" t="str">
        <f t="shared" si="40"/>
        <v/>
      </c>
      <c r="J521" t="str">
        <f t="shared" si="41"/>
        <v/>
      </c>
      <c r="K521" t="str">
        <f t="shared" si="37"/>
        <v/>
      </c>
    </row>
    <row r="522" spans="6:11">
      <c r="F522" t="str">
        <f>IF(B522="Egg Shop","",IF(J522="","",IFERROR(LOOKUP(2,1/(Purchases!$H$3:$H$2002=J522),Purchases!$F$3:$F$2002),"")))</f>
        <v/>
      </c>
      <c r="G522" t="str">
        <f t="shared" si="38"/>
        <v/>
      </c>
      <c r="H522" t="str">
        <f t="shared" si="39"/>
        <v/>
      </c>
      <c r="I522" t="str">
        <f t="shared" si="40"/>
        <v/>
      </c>
      <c r="J522" t="str">
        <f t="shared" si="41"/>
        <v/>
      </c>
      <c r="K522" t="str">
        <f t="shared" si="37"/>
        <v/>
      </c>
    </row>
    <row r="523" spans="6:11">
      <c r="F523" t="str">
        <f>IF(B523="Egg Shop","",IF(J523="","",IFERROR(LOOKUP(2,1/(Purchases!$H$3:$H$2002=J523),Purchases!$F$3:$F$2002),"")))</f>
        <v/>
      </c>
      <c r="G523" t="str">
        <f t="shared" si="38"/>
        <v/>
      </c>
      <c r="H523" t="str">
        <f t="shared" si="39"/>
        <v/>
      </c>
      <c r="I523" t="str">
        <f t="shared" si="40"/>
        <v/>
      </c>
      <c r="J523" t="str">
        <f t="shared" si="41"/>
        <v/>
      </c>
      <c r="K523" t="str">
        <f t="shared" si="37"/>
        <v/>
      </c>
    </row>
    <row r="524" spans="6:11">
      <c r="F524" t="str">
        <f>IF(B524="Egg Shop","",IF(J524="","",IFERROR(LOOKUP(2,1/(Purchases!$H$3:$H$2002=J524),Purchases!$F$3:$F$2002),"")))</f>
        <v/>
      </c>
      <c r="G524" t="str">
        <f t="shared" si="38"/>
        <v/>
      </c>
      <c r="H524" t="str">
        <f t="shared" si="39"/>
        <v/>
      </c>
      <c r="I524" t="str">
        <f t="shared" si="40"/>
        <v/>
      </c>
      <c r="J524" t="str">
        <f t="shared" si="41"/>
        <v/>
      </c>
      <c r="K524" t="str">
        <f t="shared" si="37"/>
        <v/>
      </c>
    </row>
    <row r="525" spans="6:11">
      <c r="F525" t="str">
        <f>IF(B525="Egg Shop","",IF(J525="","",IFERROR(LOOKUP(2,1/(Purchases!$H$3:$H$2002=J525),Purchases!$F$3:$F$2002),"")))</f>
        <v/>
      </c>
      <c r="G525" t="str">
        <f t="shared" si="38"/>
        <v/>
      </c>
      <c r="H525" t="str">
        <f t="shared" si="39"/>
        <v/>
      </c>
      <c r="I525" t="str">
        <f t="shared" si="40"/>
        <v/>
      </c>
      <c r="J525" t="str">
        <f t="shared" si="41"/>
        <v/>
      </c>
      <c r="K525" t="str">
        <f t="shared" si="37"/>
        <v/>
      </c>
    </row>
    <row r="526" spans="6:11">
      <c r="F526" t="str">
        <f>IF(B526="Egg Shop","",IF(J526="","",IFERROR(LOOKUP(2,1/(Purchases!$H$3:$H$2002=J526),Purchases!$F$3:$F$2002),"")))</f>
        <v/>
      </c>
      <c r="G526" t="str">
        <f t="shared" si="38"/>
        <v/>
      </c>
      <c r="H526" t="str">
        <f t="shared" si="39"/>
        <v/>
      </c>
      <c r="I526" t="str">
        <f t="shared" si="40"/>
        <v/>
      </c>
      <c r="J526" t="str">
        <f t="shared" si="41"/>
        <v/>
      </c>
      <c r="K526" t="str">
        <f t="shared" si="37"/>
        <v/>
      </c>
    </row>
    <row r="527" spans="6:11">
      <c r="F527" t="str">
        <f>IF(B527="Egg Shop","",IF(J527="","",IFERROR(LOOKUP(2,1/(Purchases!$H$3:$H$2002=J527),Purchases!$F$3:$F$2002),"")))</f>
        <v/>
      </c>
      <c r="G527" t="str">
        <f t="shared" si="38"/>
        <v/>
      </c>
      <c r="H527" t="str">
        <f t="shared" si="39"/>
        <v/>
      </c>
      <c r="I527" t="str">
        <f t="shared" si="40"/>
        <v/>
      </c>
      <c r="J527" t="str">
        <f t="shared" si="41"/>
        <v/>
      </c>
      <c r="K527" t="str">
        <f t="shared" si="37"/>
        <v/>
      </c>
    </row>
    <row r="528" spans="6:11">
      <c r="F528" t="str">
        <f>IF(B528="Egg Shop","",IF(J528="","",IFERROR(LOOKUP(2,1/(Purchases!$H$3:$H$2002=J528),Purchases!$F$3:$F$2002),"")))</f>
        <v/>
      </c>
      <c r="G528" t="str">
        <f t="shared" si="38"/>
        <v/>
      </c>
      <c r="H528" t="str">
        <f t="shared" si="39"/>
        <v/>
      </c>
      <c r="I528" t="str">
        <f t="shared" si="40"/>
        <v/>
      </c>
      <c r="J528" t="str">
        <f t="shared" si="41"/>
        <v/>
      </c>
      <c r="K528" t="str">
        <f t="shared" si="37"/>
        <v/>
      </c>
    </row>
    <row r="529" spans="6:11">
      <c r="F529" t="str">
        <f>IF(B529="Egg Shop","",IF(J529="","",IFERROR(LOOKUP(2,1/(Purchases!$H$3:$H$2002=J529),Purchases!$F$3:$F$2002),"")))</f>
        <v/>
      </c>
      <c r="G529" t="str">
        <f t="shared" si="38"/>
        <v/>
      </c>
      <c r="H529" t="str">
        <f t="shared" si="39"/>
        <v/>
      </c>
      <c r="I529" t="str">
        <f t="shared" si="40"/>
        <v/>
      </c>
      <c r="J529" t="str">
        <f t="shared" si="41"/>
        <v/>
      </c>
      <c r="K529" t="str">
        <f t="shared" si="37"/>
        <v/>
      </c>
    </row>
    <row r="530" spans="6:11">
      <c r="F530" t="str">
        <f>IF(B530="Egg Shop","",IF(J530="","",IFERROR(LOOKUP(2,1/(Purchases!$H$3:$H$2002=J530),Purchases!$F$3:$F$2002),"")))</f>
        <v/>
      </c>
      <c r="G530" t="str">
        <f t="shared" si="38"/>
        <v/>
      </c>
      <c r="H530" t="str">
        <f t="shared" si="39"/>
        <v/>
      </c>
      <c r="I530" t="str">
        <f t="shared" si="40"/>
        <v/>
      </c>
      <c r="J530" t="str">
        <f t="shared" si="41"/>
        <v/>
      </c>
      <c r="K530" t="str">
        <f t="shared" ref="K530:K593" si="42">IF(A530&lt;&gt;"","Cash","")</f>
        <v/>
      </c>
    </row>
    <row r="531" spans="6:11">
      <c r="F531" t="str">
        <f>IF(B531="Egg Shop","",IF(J531="","",IFERROR(LOOKUP(2,1/(Purchases!$H$3:$H$2002=J531),Purchases!$F$3:$F$2002),"")))</f>
        <v/>
      </c>
      <c r="G531" t="str">
        <f t="shared" si="38"/>
        <v/>
      </c>
      <c r="H531" t="str">
        <f t="shared" si="39"/>
        <v/>
      </c>
      <c r="I531" t="str">
        <f t="shared" si="40"/>
        <v/>
      </c>
      <c r="J531" t="str">
        <f t="shared" si="41"/>
        <v/>
      </c>
      <c r="K531" t="str">
        <f t="shared" si="42"/>
        <v/>
      </c>
    </row>
    <row r="532" spans="6:11">
      <c r="F532" t="str">
        <f>IF(B532="Egg Shop","",IF(J532="","",IFERROR(LOOKUP(2,1/(Purchases!$H$3:$H$2002=J532),Purchases!$F$3:$F$2002),"")))</f>
        <v/>
      </c>
      <c r="G532" t="str">
        <f t="shared" si="38"/>
        <v/>
      </c>
      <c r="H532" t="str">
        <f t="shared" si="39"/>
        <v/>
      </c>
      <c r="I532" t="str">
        <f t="shared" si="40"/>
        <v/>
      </c>
      <c r="J532" t="str">
        <f t="shared" si="41"/>
        <v/>
      </c>
      <c r="K532" t="str">
        <f t="shared" si="42"/>
        <v/>
      </c>
    </row>
    <row r="533" spans="6:11">
      <c r="F533" t="str">
        <f>IF(B533="Egg Shop","",IF(J533="","",IFERROR(LOOKUP(2,1/(Purchases!$H$3:$H$2002=J533),Purchases!$F$3:$F$2002),"")))</f>
        <v/>
      </c>
      <c r="G533" t="str">
        <f t="shared" si="38"/>
        <v/>
      </c>
      <c r="H533" t="str">
        <f t="shared" si="39"/>
        <v/>
      </c>
      <c r="I533" t="str">
        <f t="shared" si="40"/>
        <v/>
      </c>
      <c r="J533" t="str">
        <f t="shared" si="41"/>
        <v/>
      </c>
      <c r="K533" t="str">
        <f t="shared" si="42"/>
        <v/>
      </c>
    </row>
    <row r="534" spans="6:11">
      <c r="F534" t="str">
        <f>IF(B534="Egg Shop","",IF(J534="","",IFERROR(LOOKUP(2,1/(Purchases!$H$3:$H$2002=J534),Purchases!$F$3:$F$2002),"")))</f>
        <v/>
      </c>
      <c r="G534" t="str">
        <f t="shared" si="38"/>
        <v/>
      </c>
      <c r="H534" t="str">
        <f t="shared" si="39"/>
        <v/>
      </c>
      <c r="I534" t="str">
        <f t="shared" si="40"/>
        <v/>
      </c>
      <c r="J534" t="str">
        <f t="shared" si="41"/>
        <v/>
      </c>
      <c r="K534" t="str">
        <f t="shared" si="42"/>
        <v/>
      </c>
    </row>
    <row r="535" spans="6:11">
      <c r="F535" t="str">
        <f>IF(B535="Egg Shop","",IF(J535="","",IFERROR(LOOKUP(2,1/(Purchases!$H$3:$H$2002=J535),Purchases!$F$3:$F$2002),"")))</f>
        <v/>
      </c>
      <c r="G535" t="str">
        <f t="shared" si="38"/>
        <v/>
      </c>
      <c r="H535" t="str">
        <f t="shared" si="39"/>
        <v/>
      </c>
      <c r="I535" t="str">
        <f t="shared" si="40"/>
        <v/>
      </c>
      <c r="J535" t="str">
        <f t="shared" si="41"/>
        <v/>
      </c>
      <c r="K535" t="str">
        <f t="shared" si="42"/>
        <v/>
      </c>
    </row>
    <row r="536" spans="6:11">
      <c r="F536" t="str">
        <f>IF(B536="Egg Shop","",IF(J536="","",IFERROR(LOOKUP(2,1/(Purchases!$H$3:$H$2002=J536),Purchases!$F$3:$F$2002),"")))</f>
        <v/>
      </c>
      <c r="G536" t="str">
        <f t="shared" si="38"/>
        <v/>
      </c>
      <c r="H536" t="str">
        <f t="shared" si="39"/>
        <v/>
      </c>
      <c r="I536" t="str">
        <f t="shared" si="40"/>
        <v/>
      </c>
      <c r="J536" t="str">
        <f t="shared" si="41"/>
        <v/>
      </c>
      <c r="K536" t="str">
        <f t="shared" si="42"/>
        <v/>
      </c>
    </row>
    <row r="537" spans="6:11">
      <c r="F537" t="str">
        <f>IF(B537="Egg Shop","",IF(J537="","",IFERROR(LOOKUP(2,1/(Purchases!$H$3:$H$2002=J537),Purchases!$F$3:$F$2002),"")))</f>
        <v/>
      </c>
      <c r="G537" t="str">
        <f t="shared" si="38"/>
        <v/>
      </c>
      <c r="H537" t="str">
        <f t="shared" si="39"/>
        <v/>
      </c>
      <c r="I537" t="str">
        <f t="shared" si="40"/>
        <v/>
      </c>
      <c r="J537" t="str">
        <f t="shared" si="41"/>
        <v/>
      </c>
      <c r="K537" t="str">
        <f t="shared" si="42"/>
        <v/>
      </c>
    </row>
    <row r="538" spans="6:11">
      <c r="F538" t="str">
        <f>IF(B538="Egg Shop","",IF(J538="","",IFERROR(LOOKUP(2,1/(Purchases!$H$3:$H$2002=J538),Purchases!$F$3:$F$2002),"")))</f>
        <v/>
      </c>
      <c r="G538" t="str">
        <f t="shared" si="38"/>
        <v/>
      </c>
      <c r="H538" t="str">
        <f t="shared" si="39"/>
        <v/>
      </c>
      <c r="I538" t="str">
        <f t="shared" si="40"/>
        <v/>
      </c>
      <c r="J538" t="str">
        <f t="shared" si="41"/>
        <v/>
      </c>
      <c r="K538" t="str">
        <f t="shared" si="42"/>
        <v/>
      </c>
    </row>
    <row r="539" spans="6:11">
      <c r="F539" t="str">
        <f>IF(B539="Egg Shop","",IF(J539="","",IFERROR(LOOKUP(2,1/(Purchases!$H$3:$H$2002=J539),Purchases!$F$3:$F$2002),"")))</f>
        <v/>
      </c>
      <c r="G539" t="str">
        <f t="shared" si="38"/>
        <v/>
      </c>
      <c r="H539" t="str">
        <f t="shared" si="39"/>
        <v/>
      </c>
      <c r="I539" t="str">
        <f t="shared" si="40"/>
        <v/>
      </c>
      <c r="J539" t="str">
        <f t="shared" si="41"/>
        <v/>
      </c>
      <c r="K539" t="str">
        <f t="shared" si="42"/>
        <v/>
      </c>
    </row>
    <row r="540" spans="6:11">
      <c r="F540" t="str">
        <f>IF(B540="Egg Shop","",IF(J540="","",IFERROR(LOOKUP(2,1/(Purchases!$H$3:$H$2002=J540),Purchases!$F$3:$F$2002),"")))</f>
        <v/>
      </c>
      <c r="G540" t="str">
        <f t="shared" si="38"/>
        <v/>
      </c>
      <c r="H540" t="str">
        <f t="shared" si="39"/>
        <v/>
      </c>
      <c r="I540" t="str">
        <f t="shared" si="40"/>
        <v/>
      </c>
      <c r="J540" t="str">
        <f t="shared" si="41"/>
        <v/>
      </c>
      <c r="K540" t="str">
        <f t="shared" si="42"/>
        <v/>
      </c>
    </row>
    <row r="541" spans="6:11">
      <c r="F541" t="str">
        <f>IF(B541="Egg Shop","",IF(J541="","",IFERROR(LOOKUP(2,1/(Purchases!$H$3:$H$2002=J541),Purchases!$F$3:$F$2002),"")))</f>
        <v/>
      </c>
      <c r="G541" t="str">
        <f t="shared" si="38"/>
        <v/>
      </c>
      <c r="H541" t="str">
        <f t="shared" si="39"/>
        <v/>
      </c>
      <c r="I541" t="str">
        <f t="shared" si="40"/>
        <v/>
      </c>
      <c r="J541" t="str">
        <f t="shared" si="41"/>
        <v/>
      </c>
      <c r="K541" t="str">
        <f t="shared" si="42"/>
        <v/>
      </c>
    </row>
    <row r="542" spans="6:11">
      <c r="F542" t="str">
        <f>IF(B542="Egg Shop","",IF(J542="","",IFERROR(LOOKUP(2,1/(Purchases!$H$3:$H$2002=J542),Purchases!$F$3:$F$2002),"")))</f>
        <v/>
      </c>
      <c r="G542" t="str">
        <f t="shared" si="38"/>
        <v/>
      </c>
      <c r="H542" t="str">
        <f t="shared" si="39"/>
        <v/>
      </c>
      <c r="I542" t="str">
        <f t="shared" si="40"/>
        <v/>
      </c>
      <c r="J542" t="str">
        <f t="shared" si="41"/>
        <v/>
      </c>
      <c r="K542" t="str">
        <f t="shared" si="42"/>
        <v/>
      </c>
    </row>
    <row r="543" spans="6:11">
      <c r="F543" t="str">
        <f>IF(B543="Egg Shop","",IF(J543="","",IFERROR(LOOKUP(2,1/(Purchases!$H$3:$H$2002=J543),Purchases!$F$3:$F$2002),"")))</f>
        <v/>
      </c>
      <c r="G543" t="str">
        <f t="shared" si="38"/>
        <v/>
      </c>
      <c r="H543" t="str">
        <f t="shared" si="39"/>
        <v/>
      </c>
      <c r="I543" t="str">
        <f t="shared" si="40"/>
        <v/>
      </c>
      <c r="J543" t="str">
        <f t="shared" si="41"/>
        <v/>
      </c>
      <c r="K543" t="str">
        <f t="shared" si="42"/>
        <v/>
      </c>
    </row>
    <row r="544" spans="6:11">
      <c r="F544" t="str">
        <f>IF(B544="Egg Shop","",IF(J544="","",IFERROR(LOOKUP(2,1/(Purchases!$H$3:$H$2002=J544),Purchases!$F$3:$F$2002),"")))</f>
        <v/>
      </c>
      <c r="G544" t="str">
        <f t="shared" si="38"/>
        <v/>
      </c>
      <c r="H544" t="str">
        <f t="shared" si="39"/>
        <v/>
      </c>
      <c r="I544" t="str">
        <f t="shared" si="40"/>
        <v/>
      </c>
      <c r="J544" t="str">
        <f t="shared" si="41"/>
        <v/>
      </c>
      <c r="K544" t="str">
        <f t="shared" si="42"/>
        <v/>
      </c>
    </row>
    <row r="545" spans="6:11">
      <c r="F545" t="str">
        <f>IF(B545="Egg Shop","",IF(J545="","",IFERROR(LOOKUP(2,1/(Purchases!$H$3:$H$2002=J545),Purchases!$F$3:$F$2002),"")))</f>
        <v/>
      </c>
      <c r="G545" t="str">
        <f t="shared" si="38"/>
        <v/>
      </c>
      <c r="H545" t="str">
        <f t="shared" si="39"/>
        <v/>
      </c>
      <c r="I545" t="str">
        <f t="shared" si="40"/>
        <v/>
      </c>
      <c r="J545" t="str">
        <f t="shared" si="41"/>
        <v/>
      </c>
      <c r="K545" t="str">
        <f t="shared" si="42"/>
        <v/>
      </c>
    </row>
    <row r="546" spans="6:11">
      <c r="F546" t="str">
        <f>IF(B546="Egg Shop","",IF(J546="","",IFERROR(LOOKUP(2,1/(Purchases!$H$3:$H$2002=J546),Purchases!$F$3:$F$2002),"")))</f>
        <v/>
      </c>
      <c r="G546" t="str">
        <f t="shared" si="38"/>
        <v/>
      </c>
      <c r="H546" t="str">
        <f t="shared" si="39"/>
        <v/>
      </c>
      <c r="I546" t="str">
        <f t="shared" si="40"/>
        <v/>
      </c>
      <c r="J546" t="str">
        <f t="shared" si="41"/>
        <v/>
      </c>
      <c r="K546" t="str">
        <f t="shared" si="42"/>
        <v/>
      </c>
    </row>
    <row r="547" spans="6:11">
      <c r="F547" t="str">
        <f>IF(B547="Egg Shop","",IF(J547="","",IFERROR(LOOKUP(2,1/(Purchases!$H$3:$H$2002=J547),Purchases!$F$3:$F$2002),"")))</f>
        <v/>
      </c>
      <c r="G547" t="str">
        <f t="shared" si="38"/>
        <v/>
      </c>
      <c r="H547" t="str">
        <f t="shared" si="39"/>
        <v/>
      </c>
      <c r="I547" t="str">
        <f t="shared" si="40"/>
        <v/>
      </c>
      <c r="J547" t="str">
        <f t="shared" si="41"/>
        <v/>
      </c>
      <c r="K547" t="str">
        <f t="shared" si="42"/>
        <v/>
      </c>
    </row>
    <row r="548" spans="6:11">
      <c r="F548" t="str">
        <f>IF(B548="Egg Shop","",IF(J548="","",IFERROR(LOOKUP(2,1/(Purchases!$H$3:$H$2002=J548),Purchases!$F$3:$F$2002),"")))</f>
        <v/>
      </c>
      <c r="G548" t="str">
        <f t="shared" si="38"/>
        <v/>
      </c>
      <c r="H548" t="str">
        <f t="shared" si="39"/>
        <v/>
      </c>
      <c r="I548" t="str">
        <f t="shared" si="40"/>
        <v/>
      </c>
      <c r="J548" t="str">
        <f t="shared" si="41"/>
        <v/>
      </c>
      <c r="K548" t="str">
        <f t="shared" si="42"/>
        <v/>
      </c>
    </row>
    <row r="549" spans="6:11">
      <c r="F549" t="str">
        <f>IF(B549="Egg Shop","",IF(J549="","",IFERROR(LOOKUP(2,1/(Purchases!$H$3:$H$2002=J549),Purchases!$F$3:$F$2002),"")))</f>
        <v/>
      </c>
      <c r="G549" t="str">
        <f t="shared" si="38"/>
        <v/>
      </c>
      <c r="H549" t="str">
        <f t="shared" si="39"/>
        <v/>
      </c>
      <c r="I549" t="str">
        <f t="shared" si="40"/>
        <v/>
      </c>
      <c r="J549" t="str">
        <f t="shared" si="41"/>
        <v/>
      </c>
      <c r="K549" t="str">
        <f t="shared" si="42"/>
        <v/>
      </c>
    </row>
    <row r="550" spans="6:11">
      <c r="F550" t="str">
        <f>IF(B550="Egg Shop","",IF(J550="","",IFERROR(LOOKUP(2,1/(Purchases!$H$3:$H$2002=J550),Purchases!$F$3:$F$2002),"")))</f>
        <v/>
      </c>
      <c r="G550" t="str">
        <f t="shared" si="38"/>
        <v/>
      </c>
      <c r="H550" t="str">
        <f t="shared" si="39"/>
        <v/>
      </c>
      <c r="I550" t="str">
        <f t="shared" si="40"/>
        <v/>
      </c>
      <c r="J550" t="str">
        <f t="shared" si="41"/>
        <v/>
      </c>
      <c r="K550" t="str">
        <f t="shared" si="42"/>
        <v/>
      </c>
    </row>
    <row r="551" spans="6:11">
      <c r="F551" t="str">
        <f>IF(B551="Egg Shop","",IF(J551="","",IFERROR(LOOKUP(2,1/(Purchases!$H$3:$H$2002=J551),Purchases!$F$3:$F$2002),"")))</f>
        <v/>
      </c>
      <c r="G551" t="str">
        <f t="shared" si="38"/>
        <v/>
      </c>
      <c r="H551" t="str">
        <f t="shared" si="39"/>
        <v/>
      </c>
      <c r="I551" t="str">
        <f t="shared" si="40"/>
        <v/>
      </c>
      <c r="J551" t="str">
        <f t="shared" si="41"/>
        <v/>
      </c>
      <c r="K551" t="str">
        <f t="shared" si="42"/>
        <v/>
      </c>
    </row>
    <row r="552" spans="6:11">
      <c r="F552" t="str">
        <f>IF(B552="Egg Shop","",IF(J552="","",IFERROR(LOOKUP(2,1/(Purchases!$H$3:$H$2002=J552),Purchases!$F$3:$F$2002),"")))</f>
        <v/>
      </c>
      <c r="G552" t="str">
        <f t="shared" si="38"/>
        <v/>
      </c>
      <c r="H552" t="str">
        <f t="shared" si="39"/>
        <v/>
      </c>
      <c r="I552" t="str">
        <f t="shared" si="40"/>
        <v/>
      </c>
      <c r="J552" t="str">
        <f t="shared" si="41"/>
        <v/>
      </c>
      <c r="K552" t="str">
        <f t="shared" si="42"/>
        <v/>
      </c>
    </row>
    <row r="553" spans="6:11">
      <c r="F553" t="str">
        <f>IF(B553="Egg Shop","",IF(J553="","",IFERROR(LOOKUP(2,1/(Purchases!$H$3:$H$2002=J553),Purchases!$F$3:$F$2002),"")))</f>
        <v/>
      </c>
      <c r="G553" t="str">
        <f t="shared" si="38"/>
        <v/>
      </c>
      <c r="H553" t="str">
        <f t="shared" si="39"/>
        <v/>
      </c>
      <c r="I553" t="str">
        <f t="shared" si="40"/>
        <v/>
      </c>
      <c r="J553" t="str">
        <f t="shared" si="41"/>
        <v/>
      </c>
      <c r="K553" t="str">
        <f t="shared" si="42"/>
        <v/>
      </c>
    </row>
    <row r="554" spans="6:11">
      <c r="F554" t="str">
        <f>IF(B554="Egg Shop","",IF(J554="","",IFERROR(LOOKUP(2,1/(Purchases!$H$3:$H$2002=J554),Purchases!$F$3:$F$2002),"")))</f>
        <v/>
      </c>
      <c r="G554" t="str">
        <f t="shared" si="38"/>
        <v/>
      </c>
      <c r="H554" t="str">
        <f t="shared" si="39"/>
        <v/>
      </c>
      <c r="I554" t="str">
        <f t="shared" si="40"/>
        <v/>
      </c>
      <c r="J554" t="str">
        <f t="shared" si="41"/>
        <v/>
      </c>
      <c r="K554" t="str">
        <f t="shared" si="42"/>
        <v/>
      </c>
    </row>
    <row r="555" spans="6:11">
      <c r="F555" t="str">
        <f>IF(B555="Egg Shop","",IF(J555="","",IFERROR(LOOKUP(2,1/(Purchases!$H$3:$H$2002=J555),Purchases!$F$3:$F$2002),"")))</f>
        <v/>
      </c>
      <c r="G555" t="str">
        <f t="shared" si="38"/>
        <v/>
      </c>
      <c r="H555" t="str">
        <f t="shared" si="39"/>
        <v/>
      </c>
      <c r="I555" t="str">
        <f t="shared" si="40"/>
        <v/>
      </c>
      <c r="J555" t="str">
        <f t="shared" si="41"/>
        <v/>
      </c>
      <c r="K555" t="str">
        <f t="shared" si="42"/>
        <v/>
      </c>
    </row>
    <row r="556" spans="6:11">
      <c r="F556" t="str">
        <f>IF(B556="Egg Shop","",IF(J556="","",IFERROR(LOOKUP(2,1/(Purchases!$H$3:$H$2002=J556),Purchases!$F$3:$F$2002),"")))</f>
        <v/>
      </c>
      <c r="G556" t="str">
        <f t="shared" si="38"/>
        <v/>
      </c>
      <c r="H556" t="str">
        <f t="shared" si="39"/>
        <v/>
      </c>
      <c r="I556" t="str">
        <f t="shared" si="40"/>
        <v/>
      </c>
      <c r="J556" t="str">
        <f t="shared" si="41"/>
        <v/>
      </c>
      <c r="K556" t="str">
        <f t="shared" si="42"/>
        <v/>
      </c>
    </row>
    <row r="557" spans="6:11">
      <c r="F557" t="str">
        <f>IF(B557="Egg Shop","",IF(J557="","",IFERROR(LOOKUP(2,1/(Purchases!$H$3:$H$2002=J557),Purchases!$F$3:$F$2002),"")))</f>
        <v/>
      </c>
      <c r="G557" t="str">
        <f t="shared" si="38"/>
        <v/>
      </c>
      <c r="H557" t="str">
        <f t="shared" si="39"/>
        <v/>
      </c>
      <c r="I557" t="str">
        <f t="shared" si="40"/>
        <v/>
      </c>
      <c r="J557" t="str">
        <f t="shared" si="41"/>
        <v/>
      </c>
      <c r="K557" t="str">
        <f t="shared" si="42"/>
        <v/>
      </c>
    </row>
    <row r="558" spans="6:11">
      <c r="F558" t="str">
        <f>IF(B558="Egg Shop","",IF(J558="","",IFERROR(LOOKUP(2,1/(Purchases!$H$3:$H$2002=J558),Purchases!$F$3:$F$2002),"")))</f>
        <v/>
      </c>
      <c r="G558" t="str">
        <f t="shared" si="38"/>
        <v/>
      </c>
      <c r="H558" t="str">
        <f t="shared" si="39"/>
        <v/>
      </c>
      <c r="I558" t="str">
        <f t="shared" si="40"/>
        <v/>
      </c>
      <c r="J558" t="str">
        <f t="shared" si="41"/>
        <v/>
      </c>
      <c r="K558" t="str">
        <f t="shared" si="42"/>
        <v/>
      </c>
    </row>
    <row r="559" spans="6:11">
      <c r="F559" t="str">
        <f>IF(B559="Egg Shop","",IF(J559="","",IFERROR(LOOKUP(2,1/(Purchases!$H$3:$H$2002=J559),Purchases!$F$3:$F$2002),"")))</f>
        <v/>
      </c>
      <c r="G559" t="str">
        <f t="shared" si="38"/>
        <v/>
      </c>
      <c r="H559" t="str">
        <f t="shared" si="39"/>
        <v/>
      </c>
      <c r="I559" t="str">
        <f t="shared" si="40"/>
        <v/>
      </c>
      <c r="J559" t="str">
        <f t="shared" si="41"/>
        <v/>
      </c>
      <c r="K559" t="str">
        <f t="shared" si="42"/>
        <v/>
      </c>
    </row>
    <row r="560" spans="6:11">
      <c r="F560" t="str">
        <f>IF(B560="Egg Shop","",IF(J560="","",IFERROR(LOOKUP(2,1/(Purchases!$H$3:$H$2002=J560),Purchases!$F$3:$F$2002),"")))</f>
        <v/>
      </c>
      <c r="G560" t="str">
        <f t="shared" si="38"/>
        <v/>
      </c>
      <c r="H560" t="str">
        <f t="shared" si="39"/>
        <v/>
      </c>
      <c r="I560" t="str">
        <f t="shared" si="40"/>
        <v/>
      </c>
      <c r="J560" t="str">
        <f t="shared" si="41"/>
        <v/>
      </c>
      <c r="K560" t="str">
        <f t="shared" si="42"/>
        <v/>
      </c>
    </row>
    <row r="561" spans="6:11">
      <c r="F561" t="str">
        <f>IF(B561="Egg Shop","",IF(J561="","",IFERROR(LOOKUP(2,1/(Purchases!$H$3:$H$2002=J561),Purchases!$F$3:$F$2002),"")))</f>
        <v/>
      </c>
      <c r="G561" t="str">
        <f t="shared" si="38"/>
        <v/>
      </c>
      <c r="H561" t="str">
        <f t="shared" si="39"/>
        <v/>
      </c>
      <c r="I561" t="str">
        <f t="shared" si="40"/>
        <v/>
      </c>
      <c r="J561" t="str">
        <f t="shared" si="41"/>
        <v/>
      </c>
      <c r="K561" t="str">
        <f t="shared" si="42"/>
        <v/>
      </c>
    </row>
    <row r="562" spans="6:11">
      <c r="F562" t="str">
        <f>IF(B562="Egg Shop","",IF(J562="","",IFERROR(LOOKUP(2,1/(Purchases!$H$3:$H$2002=J562),Purchases!$F$3:$F$2002),"")))</f>
        <v/>
      </c>
      <c r="G562" t="str">
        <f t="shared" si="38"/>
        <v/>
      </c>
      <c r="H562" t="str">
        <f t="shared" si="39"/>
        <v/>
      </c>
      <c r="I562" t="str">
        <f t="shared" si="40"/>
        <v/>
      </c>
      <c r="J562" t="str">
        <f t="shared" si="41"/>
        <v/>
      </c>
      <c r="K562" t="str">
        <f t="shared" si="42"/>
        <v/>
      </c>
    </row>
    <row r="563" spans="6:11">
      <c r="F563" t="str">
        <f>IF(B563="Egg Shop","",IF(J563="","",IFERROR(LOOKUP(2,1/(Purchases!$H$3:$H$2002=J563),Purchases!$F$3:$F$2002),"")))</f>
        <v/>
      </c>
      <c r="G563" t="str">
        <f t="shared" si="38"/>
        <v/>
      </c>
      <c r="H563" t="str">
        <f t="shared" si="39"/>
        <v/>
      </c>
      <c r="I563" t="str">
        <f t="shared" si="40"/>
        <v/>
      </c>
      <c r="J563" t="str">
        <f t="shared" si="41"/>
        <v/>
      </c>
      <c r="K563" t="str">
        <f t="shared" si="42"/>
        <v/>
      </c>
    </row>
    <row r="564" spans="6:11">
      <c r="F564" t="str">
        <f>IF(B564="Egg Shop","",IF(J564="","",IFERROR(LOOKUP(2,1/(Purchases!$H$3:$H$2002=J564),Purchases!$F$3:$F$2002),"")))</f>
        <v/>
      </c>
      <c r="G564" t="str">
        <f t="shared" si="38"/>
        <v/>
      </c>
      <c r="H564" t="str">
        <f t="shared" si="39"/>
        <v/>
      </c>
      <c r="I564" t="str">
        <f t="shared" si="40"/>
        <v/>
      </c>
      <c r="J564" t="str">
        <f t="shared" si="41"/>
        <v/>
      </c>
      <c r="K564" t="str">
        <f t="shared" si="42"/>
        <v/>
      </c>
    </row>
    <row r="565" spans="6:11">
      <c r="F565" t="str">
        <f>IF(B565="Egg Shop","",IF(J565="","",IFERROR(LOOKUP(2,1/(Purchases!$H$3:$H$2002=J565),Purchases!$F$3:$F$2002),"")))</f>
        <v/>
      </c>
      <c r="G565" t="str">
        <f t="shared" si="38"/>
        <v/>
      </c>
      <c r="H565" t="str">
        <f t="shared" si="39"/>
        <v/>
      </c>
      <c r="I565" t="str">
        <f t="shared" si="40"/>
        <v/>
      </c>
      <c r="J565" t="str">
        <f t="shared" si="41"/>
        <v/>
      </c>
      <c r="K565" t="str">
        <f t="shared" si="42"/>
        <v/>
      </c>
    </row>
    <row r="566" spans="6:11">
      <c r="F566" t="str">
        <f>IF(B566="Egg Shop","",IF(J566="","",IFERROR(LOOKUP(2,1/(Purchases!$H$3:$H$2002=J566),Purchases!$F$3:$F$2002),"")))</f>
        <v/>
      </c>
      <c r="G566" t="str">
        <f t="shared" si="38"/>
        <v/>
      </c>
      <c r="H566" t="str">
        <f t="shared" si="39"/>
        <v/>
      </c>
      <c r="I566" t="str">
        <f t="shared" si="40"/>
        <v/>
      </c>
      <c r="J566" t="str">
        <f t="shared" si="41"/>
        <v/>
      </c>
      <c r="K566" t="str">
        <f t="shared" si="42"/>
        <v/>
      </c>
    </row>
    <row r="567" spans="6:11">
      <c r="F567" t="str">
        <f>IF(B567="Egg Shop","",IF(J567="","",IFERROR(LOOKUP(2,1/(Purchases!$H$3:$H$2002=J567),Purchases!$F$3:$F$2002),"")))</f>
        <v/>
      </c>
      <c r="G567" t="str">
        <f t="shared" si="38"/>
        <v/>
      </c>
      <c r="H567" t="str">
        <f t="shared" si="39"/>
        <v/>
      </c>
      <c r="I567" t="str">
        <f t="shared" si="40"/>
        <v/>
      </c>
      <c r="J567" t="str">
        <f t="shared" si="41"/>
        <v/>
      </c>
      <c r="K567" t="str">
        <f t="shared" si="42"/>
        <v/>
      </c>
    </row>
    <row r="568" spans="6:11">
      <c r="F568" t="str">
        <f>IF(B568="Egg Shop","",IF(J568="","",IFERROR(LOOKUP(2,1/(Purchases!$H$3:$H$2002=J568),Purchases!$F$3:$F$2002),"")))</f>
        <v/>
      </c>
      <c r="G568" t="str">
        <f t="shared" si="38"/>
        <v/>
      </c>
      <c r="H568" t="str">
        <f t="shared" si="39"/>
        <v/>
      </c>
      <c r="I568" t="str">
        <f t="shared" si="40"/>
        <v/>
      </c>
      <c r="J568" t="str">
        <f t="shared" si="41"/>
        <v/>
      </c>
      <c r="K568" t="str">
        <f t="shared" si="42"/>
        <v/>
      </c>
    </row>
    <row r="569" spans="6:11">
      <c r="F569" t="str">
        <f>IF(B569="Egg Shop","",IF(J569="","",IFERROR(LOOKUP(2,1/(Purchases!$H$3:$H$2002=J569),Purchases!$F$3:$F$2002),"")))</f>
        <v/>
      </c>
      <c r="G569" t="str">
        <f t="shared" si="38"/>
        <v/>
      </c>
      <c r="H569" t="str">
        <f t="shared" si="39"/>
        <v/>
      </c>
      <c r="I569" t="str">
        <f t="shared" si="40"/>
        <v/>
      </c>
      <c r="J569" t="str">
        <f t="shared" si="41"/>
        <v/>
      </c>
      <c r="K569" t="str">
        <f t="shared" si="42"/>
        <v/>
      </c>
    </row>
    <row r="570" spans="6:11">
      <c r="F570" t="str">
        <f>IF(B570="Egg Shop","",IF(J570="","",IFERROR(LOOKUP(2,1/(Purchases!$H$3:$H$2002=J570),Purchases!$F$3:$F$2002),"")))</f>
        <v/>
      </c>
      <c r="G570" t="str">
        <f t="shared" si="38"/>
        <v/>
      </c>
      <c r="H570" t="str">
        <f t="shared" si="39"/>
        <v/>
      </c>
      <c r="I570" t="str">
        <f t="shared" si="40"/>
        <v/>
      </c>
      <c r="J570" t="str">
        <f t="shared" si="41"/>
        <v/>
      </c>
      <c r="K570" t="str">
        <f t="shared" si="42"/>
        <v/>
      </c>
    </row>
    <row r="571" spans="6:11">
      <c r="F571" t="str">
        <f>IF(B571="Egg Shop","",IF(J571="","",IFERROR(LOOKUP(2,1/(Purchases!$H$3:$H$2002=J571),Purchases!$F$3:$F$2002),"")))</f>
        <v/>
      </c>
      <c r="G571" t="str">
        <f t="shared" si="38"/>
        <v/>
      </c>
      <c r="H571" t="str">
        <f t="shared" si="39"/>
        <v/>
      </c>
      <c r="I571" t="str">
        <f t="shared" si="40"/>
        <v/>
      </c>
      <c r="J571" t="str">
        <f t="shared" si="41"/>
        <v/>
      </c>
      <c r="K571" t="str">
        <f t="shared" si="42"/>
        <v/>
      </c>
    </row>
    <row r="572" spans="6:11">
      <c r="F572" t="str">
        <f>IF(B572="Egg Shop","",IF(J572="","",IFERROR(LOOKUP(2,1/(Purchases!$H$3:$H$2002=J572),Purchases!$F$3:$F$2002),"")))</f>
        <v/>
      </c>
      <c r="G572" t="str">
        <f t="shared" si="38"/>
        <v/>
      </c>
      <c r="H572" t="str">
        <f t="shared" si="39"/>
        <v/>
      </c>
      <c r="I572" t="str">
        <f t="shared" si="40"/>
        <v/>
      </c>
      <c r="J572" t="str">
        <f t="shared" si="41"/>
        <v/>
      </c>
      <c r="K572" t="str">
        <f t="shared" si="42"/>
        <v/>
      </c>
    </row>
    <row r="573" spans="6:11">
      <c r="F573" t="str">
        <f>IF(B573="Egg Shop","",IF(J573="","",IFERROR(LOOKUP(2,1/(Purchases!$H$3:$H$2002=J573),Purchases!$F$3:$F$2002),"")))</f>
        <v/>
      </c>
      <c r="G573" t="str">
        <f t="shared" si="38"/>
        <v/>
      </c>
      <c r="H573" t="str">
        <f t="shared" si="39"/>
        <v/>
      </c>
      <c r="I573" t="str">
        <f t="shared" si="40"/>
        <v/>
      </c>
      <c r="J573" t="str">
        <f t="shared" si="41"/>
        <v/>
      </c>
      <c r="K573" t="str">
        <f t="shared" si="42"/>
        <v/>
      </c>
    </row>
    <row r="574" spans="6:11">
      <c r="F574" t="str">
        <f>IF(B574="Egg Shop","",IF(J574="","",IFERROR(LOOKUP(2,1/(Purchases!$H$3:$H$2002=J574),Purchases!$F$3:$F$2002),"")))</f>
        <v/>
      </c>
      <c r="G574" t="str">
        <f t="shared" si="38"/>
        <v/>
      </c>
      <c r="H574" t="str">
        <f t="shared" si="39"/>
        <v/>
      </c>
      <c r="I574" t="str">
        <f t="shared" si="40"/>
        <v/>
      </c>
      <c r="J574" t="str">
        <f t="shared" si="41"/>
        <v/>
      </c>
      <c r="K574" t="str">
        <f t="shared" si="42"/>
        <v/>
      </c>
    </row>
    <row r="575" spans="6:11">
      <c r="F575" t="str">
        <f>IF(B575="Egg Shop","",IF(J575="","",IFERROR(LOOKUP(2,1/(Purchases!$H$3:$H$2002=J575),Purchases!$F$3:$F$2002),"")))</f>
        <v/>
      </c>
      <c r="G575" t="str">
        <f t="shared" si="38"/>
        <v/>
      </c>
      <c r="H575" t="str">
        <f t="shared" si="39"/>
        <v/>
      </c>
      <c r="I575" t="str">
        <f t="shared" si="40"/>
        <v/>
      </c>
      <c r="J575" t="str">
        <f t="shared" si="41"/>
        <v/>
      </c>
      <c r="K575" t="str">
        <f t="shared" si="42"/>
        <v/>
      </c>
    </row>
    <row r="576" spans="6:11">
      <c r="F576" t="str">
        <f>IF(B576="Egg Shop","",IF(J576="","",IFERROR(LOOKUP(2,1/(Purchases!$H$3:$H$2002=J576),Purchases!$F$3:$F$2002),"")))</f>
        <v/>
      </c>
      <c r="G576" t="str">
        <f t="shared" si="38"/>
        <v/>
      </c>
      <c r="H576" t="str">
        <f t="shared" si="39"/>
        <v/>
      </c>
      <c r="I576" t="str">
        <f t="shared" si="40"/>
        <v/>
      </c>
      <c r="J576" t="str">
        <f t="shared" si="41"/>
        <v/>
      </c>
      <c r="K576" t="str">
        <f t="shared" si="42"/>
        <v/>
      </c>
    </row>
    <row r="577" spans="6:11">
      <c r="F577" t="str">
        <f>IF(B577="Egg Shop","",IF(J577="","",IFERROR(LOOKUP(2,1/(Purchases!$H$3:$H$2002=J577),Purchases!$F$3:$F$2002),"")))</f>
        <v/>
      </c>
      <c r="G577" t="str">
        <f t="shared" si="38"/>
        <v/>
      </c>
      <c r="H577" t="str">
        <f t="shared" si="39"/>
        <v/>
      </c>
      <c r="I577" t="str">
        <f t="shared" si="40"/>
        <v/>
      </c>
      <c r="J577" t="str">
        <f t="shared" si="41"/>
        <v/>
      </c>
      <c r="K577" t="str">
        <f t="shared" si="42"/>
        <v/>
      </c>
    </row>
    <row r="578" spans="6:11">
      <c r="F578" t="str">
        <f>IF(B578="Egg Shop","",IF(J578="","",IFERROR(LOOKUP(2,1/(Purchases!$H$3:$H$2002=J578),Purchases!$F$3:$F$2002),"")))</f>
        <v/>
      </c>
      <c r="G578" t="str">
        <f t="shared" si="38"/>
        <v/>
      </c>
      <c r="H578" t="str">
        <f t="shared" si="39"/>
        <v/>
      </c>
      <c r="I578" t="str">
        <f t="shared" si="40"/>
        <v/>
      </c>
      <c r="J578" t="str">
        <f t="shared" si="41"/>
        <v/>
      </c>
      <c r="K578" t="str">
        <f t="shared" si="42"/>
        <v/>
      </c>
    </row>
    <row r="579" spans="6:11">
      <c r="F579" t="str">
        <f>IF(B579="Egg Shop","",IF(J579="","",IFERROR(LOOKUP(2,1/(Purchases!$H$3:$H$2002=J579),Purchases!$F$3:$F$2002),"")))</f>
        <v/>
      </c>
      <c r="G579" t="str">
        <f t="shared" ref="G579:G642" si="43">IF(OR(D579="",E579=""),"",D579*E579)</f>
        <v/>
      </c>
      <c r="H579" t="str">
        <f t="shared" ref="H579:H642" si="44">IF(OR(D579="",F579=""),"",D579*F579)</f>
        <v/>
      </c>
      <c r="I579" t="str">
        <f t="shared" ref="I579:I642" si="45">IF(OR(G579="",H579=""),"",G579-H579)</f>
        <v/>
      </c>
      <c r="J579" t="str">
        <f t="shared" ref="J579:J642" si="46">IF(OR(B579="",C579=""),"",B579&amp;"|"&amp;C579)</f>
        <v/>
      </c>
      <c r="K579" t="str">
        <f t="shared" si="42"/>
        <v/>
      </c>
    </row>
    <row r="580" spans="6:11">
      <c r="F580" t="str">
        <f>IF(B580="Egg Shop","",IF(J580="","",IFERROR(LOOKUP(2,1/(Purchases!$H$3:$H$2002=J580),Purchases!$F$3:$F$2002),"")))</f>
        <v/>
      </c>
      <c r="G580" t="str">
        <f t="shared" si="43"/>
        <v/>
      </c>
      <c r="H580" t="str">
        <f t="shared" si="44"/>
        <v/>
      </c>
      <c r="I580" t="str">
        <f t="shared" si="45"/>
        <v/>
      </c>
      <c r="J580" t="str">
        <f t="shared" si="46"/>
        <v/>
      </c>
      <c r="K580" t="str">
        <f t="shared" si="42"/>
        <v/>
      </c>
    </row>
    <row r="581" spans="6:11">
      <c r="F581" t="str">
        <f>IF(B581="Egg Shop","",IF(J581="","",IFERROR(LOOKUP(2,1/(Purchases!$H$3:$H$2002=J581),Purchases!$F$3:$F$2002),"")))</f>
        <v/>
      </c>
      <c r="G581" t="str">
        <f t="shared" si="43"/>
        <v/>
      </c>
      <c r="H581" t="str">
        <f t="shared" si="44"/>
        <v/>
      </c>
      <c r="I581" t="str">
        <f t="shared" si="45"/>
        <v/>
      </c>
      <c r="J581" t="str">
        <f t="shared" si="46"/>
        <v/>
      </c>
      <c r="K581" t="str">
        <f t="shared" si="42"/>
        <v/>
      </c>
    </row>
    <row r="582" spans="6:11">
      <c r="F582" t="str">
        <f>IF(B582="Egg Shop","",IF(J582="","",IFERROR(LOOKUP(2,1/(Purchases!$H$3:$H$2002=J582),Purchases!$F$3:$F$2002),"")))</f>
        <v/>
      </c>
      <c r="G582" t="str">
        <f t="shared" si="43"/>
        <v/>
      </c>
      <c r="H582" t="str">
        <f t="shared" si="44"/>
        <v/>
      </c>
      <c r="I582" t="str">
        <f t="shared" si="45"/>
        <v/>
      </c>
      <c r="J582" t="str">
        <f t="shared" si="46"/>
        <v/>
      </c>
      <c r="K582" t="str">
        <f t="shared" si="42"/>
        <v/>
      </c>
    </row>
    <row r="583" spans="6:11">
      <c r="F583" t="str">
        <f>IF(B583="Egg Shop","",IF(J583="","",IFERROR(LOOKUP(2,1/(Purchases!$H$3:$H$2002=J583),Purchases!$F$3:$F$2002),"")))</f>
        <v/>
      </c>
      <c r="G583" t="str">
        <f t="shared" si="43"/>
        <v/>
      </c>
      <c r="H583" t="str">
        <f t="shared" si="44"/>
        <v/>
      </c>
      <c r="I583" t="str">
        <f t="shared" si="45"/>
        <v/>
      </c>
      <c r="J583" t="str">
        <f t="shared" si="46"/>
        <v/>
      </c>
      <c r="K583" t="str">
        <f t="shared" si="42"/>
        <v/>
      </c>
    </row>
    <row r="584" spans="6:11">
      <c r="F584" t="str">
        <f>IF(B584="Egg Shop","",IF(J584="","",IFERROR(LOOKUP(2,1/(Purchases!$H$3:$H$2002=J584),Purchases!$F$3:$F$2002),"")))</f>
        <v/>
      </c>
      <c r="G584" t="str">
        <f t="shared" si="43"/>
        <v/>
      </c>
      <c r="H584" t="str">
        <f t="shared" si="44"/>
        <v/>
      </c>
      <c r="I584" t="str">
        <f t="shared" si="45"/>
        <v/>
      </c>
      <c r="J584" t="str">
        <f t="shared" si="46"/>
        <v/>
      </c>
      <c r="K584" t="str">
        <f t="shared" si="42"/>
        <v/>
      </c>
    </row>
    <row r="585" spans="6:11">
      <c r="F585" t="str">
        <f>IF(B585="Egg Shop","",IF(J585="","",IFERROR(LOOKUP(2,1/(Purchases!$H$3:$H$2002=J585),Purchases!$F$3:$F$2002),"")))</f>
        <v/>
      </c>
      <c r="G585" t="str">
        <f t="shared" si="43"/>
        <v/>
      </c>
      <c r="H585" t="str">
        <f t="shared" si="44"/>
        <v/>
      </c>
      <c r="I585" t="str">
        <f t="shared" si="45"/>
        <v/>
      </c>
      <c r="J585" t="str">
        <f t="shared" si="46"/>
        <v/>
      </c>
      <c r="K585" t="str">
        <f t="shared" si="42"/>
        <v/>
      </c>
    </row>
    <row r="586" spans="6:11">
      <c r="F586" t="str">
        <f>IF(B586="Egg Shop","",IF(J586="","",IFERROR(LOOKUP(2,1/(Purchases!$H$3:$H$2002=J586),Purchases!$F$3:$F$2002),"")))</f>
        <v/>
      </c>
      <c r="G586" t="str">
        <f t="shared" si="43"/>
        <v/>
      </c>
      <c r="H586" t="str">
        <f t="shared" si="44"/>
        <v/>
      </c>
      <c r="I586" t="str">
        <f t="shared" si="45"/>
        <v/>
      </c>
      <c r="J586" t="str">
        <f t="shared" si="46"/>
        <v/>
      </c>
      <c r="K586" t="str">
        <f t="shared" si="42"/>
        <v/>
      </c>
    </row>
    <row r="587" spans="6:11">
      <c r="F587" t="str">
        <f>IF(B587="Egg Shop","",IF(J587="","",IFERROR(LOOKUP(2,1/(Purchases!$H$3:$H$2002=J587),Purchases!$F$3:$F$2002),"")))</f>
        <v/>
      </c>
      <c r="G587" t="str">
        <f t="shared" si="43"/>
        <v/>
      </c>
      <c r="H587" t="str">
        <f t="shared" si="44"/>
        <v/>
      </c>
      <c r="I587" t="str">
        <f t="shared" si="45"/>
        <v/>
      </c>
      <c r="J587" t="str">
        <f t="shared" si="46"/>
        <v/>
      </c>
      <c r="K587" t="str">
        <f t="shared" si="42"/>
        <v/>
      </c>
    </row>
    <row r="588" spans="6:11">
      <c r="F588" t="str">
        <f>IF(B588="Egg Shop","",IF(J588="","",IFERROR(LOOKUP(2,1/(Purchases!$H$3:$H$2002=J588),Purchases!$F$3:$F$2002),"")))</f>
        <v/>
      </c>
      <c r="G588" t="str">
        <f t="shared" si="43"/>
        <v/>
      </c>
      <c r="H588" t="str">
        <f t="shared" si="44"/>
        <v/>
      </c>
      <c r="I588" t="str">
        <f t="shared" si="45"/>
        <v/>
      </c>
      <c r="J588" t="str">
        <f t="shared" si="46"/>
        <v/>
      </c>
      <c r="K588" t="str">
        <f t="shared" si="42"/>
        <v/>
      </c>
    </row>
    <row r="589" spans="6:11">
      <c r="F589" t="str">
        <f>IF(B589="Egg Shop","",IF(J589="","",IFERROR(LOOKUP(2,1/(Purchases!$H$3:$H$2002=J589),Purchases!$F$3:$F$2002),"")))</f>
        <v/>
      </c>
      <c r="G589" t="str">
        <f t="shared" si="43"/>
        <v/>
      </c>
      <c r="H589" t="str">
        <f t="shared" si="44"/>
        <v/>
      </c>
      <c r="I589" t="str">
        <f t="shared" si="45"/>
        <v/>
      </c>
      <c r="J589" t="str">
        <f t="shared" si="46"/>
        <v/>
      </c>
      <c r="K589" t="str">
        <f t="shared" si="42"/>
        <v/>
      </c>
    </row>
    <row r="590" spans="6:11">
      <c r="F590" t="str">
        <f>IF(B590="Egg Shop","",IF(J590="","",IFERROR(LOOKUP(2,1/(Purchases!$H$3:$H$2002=J590),Purchases!$F$3:$F$2002),"")))</f>
        <v/>
      </c>
      <c r="G590" t="str">
        <f t="shared" si="43"/>
        <v/>
      </c>
      <c r="H590" t="str">
        <f t="shared" si="44"/>
        <v/>
      </c>
      <c r="I590" t="str">
        <f t="shared" si="45"/>
        <v/>
      </c>
      <c r="J590" t="str">
        <f t="shared" si="46"/>
        <v/>
      </c>
      <c r="K590" t="str">
        <f t="shared" si="42"/>
        <v/>
      </c>
    </row>
    <row r="591" spans="6:11">
      <c r="F591" t="str">
        <f>IF(B591="Egg Shop","",IF(J591="","",IFERROR(LOOKUP(2,1/(Purchases!$H$3:$H$2002=J591),Purchases!$F$3:$F$2002),"")))</f>
        <v/>
      </c>
      <c r="G591" t="str">
        <f t="shared" si="43"/>
        <v/>
      </c>
      <c r="H591" t="str">
        <f t="shared" si="44"/>
        <v/>
      </c>
      <c r="I591" t="str">
        <f t="shared" si="45"/>
        <v/>
      </c>
      <c r="J591" t="str">
        <f t="shared" si="46"/>
        <v/>
      </c>
      <c r="K591" t="str">
        <f t="shared" si="42"/>
        <v/>
      </c>
    </row>
    <row r="592" spans="6:11">
      <c r="F592" t="str">
        <f>IF(B592="Egg Shop","",IF(J592="","",IFERROR(LOOKUP(2,1/(Purchases!$H$3:$H$2002=J592),Purchases!$F$3:$F$2002),"")))</f>
        <v/>
      </c>
      <c r="G592" t="str">
        <f t="shared" si="43"/>
        <v/>
      </c>
      <c r="H592" t="str">
        <f t="shared" si="44"/>
        <v/>
      </c>
      <c r="I592" t="str">
        <f t="shared" si="45"/>
        <v/>
      </c>
      <c r="J592" t="str">
        <f t="shared" si="46"/>
        <v/>
      </c>
      <c r="K592" t="str">
        <f t="shared" si="42"/>
        <v/>
      </c>
    </row>
    <row r="593" spans="6:11">
      <c r="F593" t="str">
        <f>IF(B593="Egg Shop","",IF(J593="","",IFERROR(LOOKUP(2,1/(Purchases!$H$3:$H$2002=J593),Purchases!$F$3:$F$2002),"")))</f>
        <v/>
      </c>
      <c r="G593" t="str">
        <f t="shared" si="43"/>
        <v/>
      </c>
      <c r="H593" t="str">
        <f t="shared" si="44"/>
        <v/>
      </c>
      <c r="I593" t="str">
        <f t="shared" si="45"/>
        <v/>
      </c>
      <c r="J593" t="str">
        <f t="shared" si="46"/>
        <v/>
      </c>
      <c r="K593" t="str">
        <f t="shared" si="42"/>
        <v/>
      </c>
    </row>
    <row r="594" spans="6:11">
      <c r="F594" t="str">
        <f>IF(B594="Egg Shop","",IF(J594="","",IFERROR(LOOKUP(2,1/(Purchases!$H$3:$H$2002=J594),Purchases!$F$3:$F$2002),"")))</f>
        <v/>
      </c>
      <c r="G594" t="str">
        <f t="shared" si="43"/>
        <v/>
      </c>
      <c r="H594" t="str">
        <f t="shared" si="44"/>
        <v/>
      </c>
      <c r="I594" t="str">
        <f t="shared" si="45"/>
        <v/>
      </c>
      <c r="J594" t="str">
        <f t="shared" si="46"/>
        <v/>
      </c>
      <c r="K594" t="str">
        <f t="shared" ref="K594:K657" si="47">IF(A594&lt;&gt;"","Cash","")</f>
        <v/>
      </c>
    </row>
    <row r="595" spans="6:11">
      <c r="F595" t="str">
        <f>IF(B595="Egg Shop","",IF(J595="","",IFERROR(LOOKUP(2,1/(Purchases!$H$3:$H$2002=J595),Purchases!$F$3:$F$2002),"")))</f>
        <v/>
      </c>
      <c r="G595" t="str">
        <f t="shared" si="43"/>
        <v/>
      </c>
      <c r="H595" t="str">
        <f t="shared" si="44"/>
        <v/>
      </c>
      <c r="I595" t="str">
        <f t="shared" si="45"/>
        <v/>
      </c>
      <c r="J595" t="str">
        <f t="shared" si="46"/>
        <v/>
      </c>
      <c r="K595" t="str">
        <f t="shared" si="47"/>
        <v/>
      </c>
    </row>
    <row r="596" spans="6:11">
      <c r="F596" t="str">
        <f>IF(B596="Egg Shop","",IF(J596="","",IFERROR(LOOKUP(2,1/(Purchases!$H$3:$H$2002=J596),Purchases!$F$3:$F$2002),"")))</f>
        <v/>
      </c>
      <c r="G596" t="str">
        <f t="shared" si="43"/>
        <v/>
      </c>
      <c r="H596" t="str">
        <f t="shared" si="44"/>
        <v/>
      </c>
      <c r="I596" t="str">
        <f t="shared" si="45"/>
        <v/>
      </c>
      <c r="J596" t="str">
        <f t="shared" si="46"/>
        <v/>
      </c>
      <c r="K596" t="str">
        <f t="shared" si="47"/>
        <v/>
      </c>
    </row>
    <row r="597" spans="6:11">
      <c r="F597" t="str">
        <f>IF(B597="Egg Shop","",IF(J597="","",IFERROR(LOOKUP(2,1/(Purchases!$H$3:$H$2002=J597),Purchases!$F$3:$F$2002),"")))</f>
        <v/>
      </c>
      <c r="G597" t="str">
        <f t="shared" si="43"/>
        <v/>
      </c>
      <c r="H597" t="str">
        <f t="shared" si="44"/>
        <v/>
      </c>
      <c r="I597" t="str">
        <f t="shared" si="45"/>
        <v/>
      </c>
      <c r="J597" t="str">
        <f t="shared" si="46"/>
        <v/>
      </c>
      <c r="K597" t="str">
        <f t="shared" si="47"/>
        <v/>
      </c>
    </row>
    <row r="598" spans="6:11">
      <c r="F598" t="str">
        <f>IF(B598="Egg Shop","",IF(J598="","",IFERROR(LOOKUP(2,1/(Purchases!$H$3:$H$2002=J598),Purchases!$F$3:$F$2002),"")))</f>
        <v/>
      </c>
      <c r="G598" t="str">
        <f t="shared" si="43"/>
        <v/>
      </c>
      <c r="H598" t="str">
        <f t="shared" si="44"/>
        <v/>
      </c>
      <c r="I598" t="str">
        <f t="shared" si="45"/>
        <v/>
      </c>
      <c r="J598" t="str">
        <f t="shared" si="46"/>
        <v/>
      </c>
      <c r="K598" t="str">
        <f t="shared" si="47"/>
        <v/>
      </c>
    </row>
    <row r="599" spans="6:11">
      <c r="F599" t="str">
        <f>IF(B599="Egg Shop","",IF(J599="","",IFERROR(LOOKUP(2,1/(Purchases!$H$3:$H$2002=J599),Purchases!$F$3:$F$2002),"")))</f>
        <v/>
      </c>
      <c r="G599" t="str">
        <f t="shared" si="43"/>
        <v/>
      </c>
      <c r="H599" t="str">
        <f t="shared" si="44"/>
        <v/>
      </c>
      <c r="I599" t="str">
        <f t="shared" si="45"/>
        <v/>
      </c>
      <c r="J599" t="str">
        <f t="shared" si="46"/>
        <v/>
      </c>
      <c r="K599" t="str">
        <f t="shared" si="47"/>
        <v/>
      </c>
    </row>
    <row r="600" spans="6:11">
      <c r="F600" t="str">
        <f>IF(B600="Egg Shop","",IF(J600="","",IFERROR(LOOKUP(2,1/(Purchases!$H$3:$H$2002=J600),Purchases!$F$3:$F$2002),"")))</f>
        <v/>
      </c>
      <c r="G600" t="str">
        <f t="shared" si="43"/>
        <v/>
      </c>
      <c r="H600" t="str">
        <f t="shared" si="44"/>
        <v/>
      </c>
      <c r="I600" t="str">
        <f t="shared" si="45"/>
        <v/>
      </c>
      <c r="J600" t="str">
        <f t="shared" si="46"/>
        <v/>
      </c>
      <c r="K600" t="str">
        <f t="shared" si="47"/>
        <v/>
      </c>
    </row>
    <row r="601" spans="6:11">
      <c r="F601" t="str">
        <f>IF(B601="Egg Shop","",IF(J601="","",IFERROR(LOOKUP(2,1/(Purchases!$H$3:$H$2002=J601),Purchases!$F$3:$F$2002),"")))</f>
        <v/>
      </c>
      <c r="G601" t="str">
        <f t="shared" si="43"/>
        <v/>
      </c>
      <c r="H601" t="str">
        <f t="shared" si="44"/>
        <v/>
      </c>
      <c r="I601" t="str">
        <f t="shared" si="45"/>
        <v/>
      </c>
      <c r="J601" t="str">
        <f t="shared" si="46"/>
        <v/>
      </c>
      <c r="K601" t="str">
        <f t="shared" si="47"/>
        <v/>
      </c>
    </row>
    <row r="602" spans="6:11">
      <c r="F602" t="str">
        <f>IF(B602="Egg Shop","",IF(J602="","",IFERROR(LOOKUP(2,1/(Purchases!$H$3:$H$2002=J602),Purchases!$F$3:$F$2002),"")))</f>
        <v/>
      </c>
      <c r="G602" t="str">
        <f t="shared" si="43"/>
        <v/>
      </c>
      <c r="H602" t="str">
        <f t="shared" si="44"/>
        <v/>
      </c>
      <c r="I602" t="str">
        <f t="shared" si="45"/>
        <v/>
      </c>
      <c r="J602" t="str">
        <f t="shared" si="46"/>
        <v/>
      </c>
      <c r="K602" t="str">
        <f t="shared" si="47"/>
        <v/>
      </c>
    </row>
    <row r="603" spans="6:11">
      <c r="F603" t="str">
        <f>IF(B603="Egg Shop","",IF(J603="","",IFERROR(LOOKUP(2,1/(Purchases!$H$3:$H$2002=J603),Purchases!$F$3:$F$2002),"")))</f>
        <v/>
      </c>
      <c r="G603" t="str">
        <f t="shared" si="43"/>
        <v/>
      </c>
      <c r="H603" t="str">
        <f t="shared" si="44"/>
        <v/>
      </c>
      <c r="I603" t="str">
        <f t="shared" si="45"/>
        <v/>
      </c>
      <c r="J603" t="str">
        <f t="shared" si="46"/>
        <v/>
      </c>
      <c r="K603" t="str">
        <f t="shared" si="47"/>
        <v/>
      </c>
    </row>
    <row r="604" spans="6:11">
      <c r="F604" t="str">
        <f>IF(B604="Egg Shop","",IF(J604="","",IFERROR(LOOKUP(2,1/(Purchases!$H$3:$H$2002=J604),Purchases!$F$3:$F$2002),"")))</f>
        <v/>
      </c>
      <c r="G604" t="str">
        <f t="shared" si="43"/>
        <v/>
      </c>
      <c r="H604" t="str">
        <f t="shared" si="44"/>
        <v/>
      </c>
      <c r="I604" t="str">
        <f t="shared" si="45"/>
        <v/>
      </c>
      <c r="J604" t="str">
        <f t="shared" si="46"/>
        <v/>
      </c>
      <c r="K604" t="str">
        <f t="shared" si="47"/>
        <v/>
      </c>
    </row>
    <row r="605" spans="6:11">
      <c r="F605" t="str">
        <f>IF(B605="Egg Shop","",IF(J605="","",IFERROR(LOOKUP(2,1/(Purchases!$H$3:$H$2002=J605),Purchases!$F$3:$F$2002),"")))</f>
        <v/>
      </c>
      <c r="G605" t="str">
        <f t="shared" si="43"/>
        <v/>
      </c>
      <c r="H605" t="str">
        <f t="shared" si="44"/>
        <v/>
      </c>
      <c r="I605" t="str">
        <f t="shared" si="45"/>
        <v/>
      </c>
      <c r="J605" t="str">
        <f t="shared" si="46"/>
        <v/>
      </c>
      <c r="K605" t="str">
        <f t="shared" si="47"/>
        <v/>
      </c>
    </row>
    <row r="606" spans="6:11">
      <c r="F606" t="str">
        <f>IF(B606="Egg Shop","",IF(J606="","",IFERROR(LOOKUP(2,1/(Purchases!$H$3:$H$2002=J606),Purchases!$F$3:$F$2002),"")))</f>
        <v/>
      </c>
      <c r="G606" t="str">
        <f t="shared" si="43"/>
        <v/>
      </c>
      <c r="H606" t="str">
        <f t="shared" si="44"/>
        <v/>
      </c>
      <c r="I606" t="str">
        <f t="shared" si="45"/>
        <v/>
      </c>
      <c r="J606" t="str">
        <f t="shared" si="46"/>
        <v/>
      </c>
      <c r="K606" t="str">
        <f t="shared" si="47"/>
        <v/>
      </c>
    </row>
    <row r="607" spans="6:11">
      <c r="F607" t="str">
        <f>IF(B607="Egg Shop","",IF(J607="","",IFERROR(LOOKUP(2,1/(Purchases!$H$3:$H$2002=J607),Purchases!$F$3:$F$2002),"")))</f>
        <v/>
      </c>
      <c r="G607" t="str">
        <f t="shared" si="43"/>
        <v/>
      </c>
      <c r="H607" t="str">
        <f t="shared" si="44"/>
        <v/>
      </c>
      <c r="I607" t="str">
        <f t="shared" si="45"/>
        <v/>
      </c>
      <c r="J607" t="str">
        <f t="shared" si="46"/>
        <v/>
      </c>
      <c r="K607" t="str">
        <f t="shared" si="47"/>
        <v/>
      </c>
    </row>
    <row r="608" spans="6:11">
      <c r="F608" t="str">
        <f>IF(B608="Egg Shop","",IF(J608="","",IFERROR(LOOKUP(2,1/(Purchases!$H$3:$H$2002=J608),Purchases!$F$3:$F$2002),"")))</f>
        <v/>
      </c>
      <c r="G608" t="str">
        <f t="shared" si="43"/>
        <v/>
      </c>
      <c r="H608" t="str">
        <f t="shared" si="44"/>
        <v/>
      </c>
      <c r="I608" t="str">
        <f t="shared" si="45"/>
        <v/>
      </c>
      <c r="J608" t="str">
        <f t="shared" si="46"/>
        <v/>
      </c>
      <c r="K608" t="str">
        <f t="shared" si="47"/>
        <v/>
      </c>
    </row>
    <row r="609" spans="6:11">
      <c r="F609" t="str">
        <f>IF(B609="Egg Shop","",IF(J609="","",IFERROR(LOOKUP(2,1/(Purchases!$H$3:$H$2002=J609),Purchases!$F$3:$F$2002),"")))</f>
        <v/>
      </c>
      <c r="G609" t="str">
        <f t="shared" si="43"/>
        <v/>
      </c>
      <c r="H609" t="str">
        <f t="shared" si="44"/>
        <v/>
      </c>
      <c r="I609" t="str">
        <f t="shared" si="45"/>
        <v/>
      </c>
      <c r="J609" t="str">
        <f t="shared" si="46"/>
        <v/>
      </c>
      <c r="K609" t="str">
        <f t="shared" si="47"/>
        <v/>
      </c>
    </row>
    <row r="610" spans="6:11">
      <c r="F610" t="str">
        <f>IF(B610="Egg Shop","",IF(J610="","",IFERROR(LOOKUP(2,1/(Purchases!$H$3:$H$2002=J610),Purchases!$F$3:$F$2002),"")))</f>
        <v/>
      </c>
      <c r="G610" t="str">
        <f t="shared" si="43"/>
        <v/>
      </c>
      <c r="H610" t="str">
        <f t="shared" si="44"/>
        <v/>
      </c>
      <c r="I610" t="str">
        <f t="shared" si="45"/>
        <v/>
      </c>
      <c r="J610" t="str">
        <f t="shared" si="46"/>
        <v/>
      </c>
      <c r="K610" t="str">
        <f t="shared" si="47"/>
        <v/>
      </c>
    </row>
    <row r="611" spans="6:11">
      <c r="F611" t="str">
        <f>IF(B611="Egg Shop","",IF(J611="","",IFERROR(LOOKUP(2,1/(Purchases!$H$3:$H$2002=J611),Purchases!$F$3:$F$2002),"")))</f>
        <v/>
      </c>
      <c r="G611" t="str">
        <f t="shared" si="43"/>
        <v/>
      </c>
      <c r="H611" t="str">
        <f t="shared" si="44"/>
        <v/>
      </c>
      <c r="I611" t="str">
        <f t="shared" si="45"/>
        <v/>
      </c>
      <c r="J611" t="str">
        <f t="shared" si="46"/>
        <v/>
      </c>
      <c r="K611" t="str">
        <f t="shared" si="47"/>
        <v/>
      </c>
    </row>
    <row r="612" spans="6:11">
      <c r="F612" t="str">
        <f>IF(B612="Egg Shop","",IF(J612="","",IFERROR(LOOKUP(2,1/(Purchases!$H$3:$H$2002=J612),Purchases!$F$3:$F$2002),"")))</f>
        <v/>
      </c>
      <c r="G612" t="str">
        <f t="shared" si="43"/>
        <v/>
      </c>
      <c r="H612" t="str">
        <f t="shared" si="44"/>
        <v/>
      </c>
      <c r="I612" t="str">
        <f t="shared" si="45"/>
        <v/>
      </c>
      <c r="J612" t="str">
        <f t="shared" si="46"/>
        <v/>
      </c>
      <c r="K612" t="str">
        <f t="shared" si="47"/>
        <v/>
      </c>
    </row>
    <row r="613" spans="6:11">
      <c r="F613" t="str">
        <f>IF(B613="Egg Shop","",IF(J613="","",IFERROR(LOOKUP(2,1/(Purchases!$H$3:$H$2002=J613),Purchases!$F$3:$F$2002),"")))</f>
        <v/>
      </c>
      <c r="G613" t="str">
        <f t="shared" si="43"/>
        <v/>
      </c>
      <c r="H613" t="str">
        <f t="shared" si="44"/>
        <v/>
      </c>
      <c r="I613" t="str">
        <f t="shared" si="45"/>
        <v/>
      </c>
      <c r="J613" t="str">
        <f t="shared" si="46"/>
        <v/>
      </c>
      <c r="K613" t="str">
        <f t="shared" si="47"/>
        <v/>
      </c>
    </row>
    <row r="614" spans="6:11">
      <c r="F614" t="str">
        <f>IF(B614="Egg Shop","",IF(J614="","",IFERROR(LOOKUP(2,1/(Purchases!$H$3:$H$2002=J614),Purchases!$F$3:$F$2002),"")))</f>
        <v/>
      </c>
      <c r="G614" t="str">
        <f t="shared" si="43"/>
        <v/>
      </c>
      <c r="H614" t="str">
        <f t="shared" si="44"/>
        <v/>
      </c>
      <c r="I614" t="str">
        <f t="shared" si="45"/>
        <v/>
      </c>
      <c r="J614" t="str">
        <f t="shared" si="46"/>
        <v/>
      </c>
      <c r="K614" t="str">
        <f t="shared" si="47"/>
        <v/>
      </c>
    </row>
    <row r="615" spans="6:11">
      <c r="F615" t="str">
        <f>IF(B615="Egg Shop","",IF(J615="","",IFERROR(LOOKUP(2,1/(Purchases!$H$3:$H$2002=J615),Purchases!$F$3:$F$2002),"")))</f>
        <v/>
      </c>
      <c r="G615" t="str">
        <f t="shared" si="43"/>
        <v/>
      </c>
      <c r="H615" t="str">
        <f t="shared" si="44"/>
        <v/>
      </c>
      <c r="I615" t="str">
        <f t="shared" si="45"/>
        <v/>
      </c>
      <c r="J615" t="str">
        <f t="shared" si="46"/>
        <v/>
      </c>
      <c r="K615" t="str">
        <f t="shared" si="47"/>
        <v/>
      </c>
    </row>
    <row r="616" spans="6:11">
      <c r="F616" t="str">
        <f>IF(B616="Egg Shop","",IF(J616="","",IFERROR(LOOKUP(2,1/(Purchases!$H$3:$H$2002=J616),Purchases!$F$3:$F$2002),"")))</f>
        <v/>
      </c>
      <c r="G616" t="str">
        <f t="shared" si="43"/>
        <v/>
      </c>
      <c r="H616" t="str">
        <f t="shared" si="44"/>
        <v/>
      </c>
      <c r="I616" t="str">
        <f t="shared" si="45"/>
        <v/>
      </c>
      <c r="J616" t="str">
        <f t="shared" si="46"/>
        <v/>
      </c>
      <c r="K616" t="str">
        <f t="shared" si="47"/>
        <v/>
      </c>
    </row>
    <row r="617" spans="6:11">
      <c r="F617" t="str">
        <f>IF(B617="Egg Shop","",IF(J617="","",IFERROR(LOOKUP(2,1/(Purchases!$H$3:$H$2002=J617),Purchases!$F$3:$F$2002),"")))</f>
        <v/>
      </c>
      <c r="G617" t="str">
        <f t="shared" si="43"/>
        <v/>
      </c>
      <c r="H617" t="str">
        <f t="shared" si="44"/>
        <v/>
      </c>
      <c r="I617" t="str">
        <f t="shared" si="45"/>
        <v/>
      </c>
      <c r="J617" t="str">
        <f t="shared" si="46"/>
        <v/>
      </c>
      <c r="K617" t="str">
        <f t="shared" si="47"/>
        <v/>
      </c>
    </row>
    <row r="618" spans="6:11">
      <c r="F618" t="str">
        <f>IF(B618="Egg Shop","",IF(J618="","",IFERROR(LOOKUP(2,1/(Purchases!$H$3:$H$2002=J618),Purchases!$F$3:$F$2002),"")))</f>
        <v/>
      </c>
      <c r="G618" t="str">
        <f t="shared" si="43"/>
        <v/>
      </c>
      <c r="H618" t="str">
        <f t="shared" si="44"/>
        <v/>
      </c>
      <c r="I618" t="str">
        <f t="shared" si="45"/>
        <v/>
      </c>
      <c r="J618" t="str">
        <f t="shared" si="46"/>
        <v/>
      </c>
      <c r="K618" t="str">
        <f t="shared" si="47"/>
        <v/>
      </c>
    </row>
    <row r="619" spans="6:11">
      <c r="F619" t="str">
        <f>IF(B619="Egg Shop","",IF(J619="","",IFERROR(LOOKUP(2,1/(Purchases!$H$3:$H$2002=J619),Purchases!$F$3:$F$2002),"")))</f>
        <v/>
      </c>
      <c r="G619" t="str">
        <f t="shared" si="43"/>
        <v/>
      </c>
      <c r="H619" t="str">
        <f t="shared" si="44"/>
        <v/>
      </c>
      <c r="I619" t="str">
        <f t="shared" si="45"/>
        <v/>
      </c>
      <c r="J619" t="str">
        <f t="shared" si="46"/>
        <v/>
      </c>
      <c r="K619" t="str">
        <f t="shared" si="47"/>
        <v/>
      </c>
    </row>
    <row r="620" spans="6:11">
      <c r="F620" t="str">
        <f>IF(B620="Egg Shop","",IF(J620="","",IFERROR(LOOKUP(2,1/(Purchases!$H$3:$H$2002=J620),Purchases!$F$3:$F$2002),"")))</f>
        <v/>
      </c>
      <c r="G620" t="str">
        <f t="shared" si="43"/>
        <v/>
      </c>
      <c r="H620" t="str">
        <f t="shared" si="44"/>
        <v/>
      </c>
      <c r="I620" t="str">
        <f t="shared" si="45"/>
        <v/>
      </c>
      <c r="J620" t="str">
        <f t="shared" si="46"/>
        <v/>
      </c>
      <c r="K620" t="str">
        <f t="shared" si="47"/>
        <v/>
      </c>
    </row>
    <row r="621" spans="6:11">
      <c r="F621" t="str">
        <f>IF(B621="Egg Shop","",IF(J621="","",IFERROR(LOOKUP(2,1/(Purchases!$H$3:$H$2002=J621),Purchases!$F$3:$F$2002),"")))</f>
        <v/>
      </c>
      <c r="G621" t="str">
        <f t="shared" si="43"/>
        <v/>
      </c>
      <c r="H621" t="str">
        <f t="shared" si="44"/>
        <v/>
      </c>
      <c r="I621" t="str">
        <f t="shared" si="45"/>
        <v/>
      </c>
      <c r="J621" t="str">
        <f t="shared" si="46"/>
        <v/>
      </c>
      <c r="K621" t="str">
        <f t="shared" si="47"/>
        <v/>
      </c>
    </row>
    <row r="622" spans="6:11">
      <c r="F622" t="str">
        <f>IF(B622="Egg Shop","",IF(J622="","",IFERROR(LOOKUP(2,1/(Purchases!$H$3:$H$2002=J622),Purchases!$F$3:$F$2002),"")))</f>
        <v/>
      </c>
      <c r="G622" t="str">
        <f t="shared" si="43"/>
        <v/>
      </c>
      <c r="H622" t="str">
        <f t="shared" si="44"/>
        <v/>
      </c>
      <c r="I622" t="str">
        <f t="shared" si="45"/>
        <v/>
      </c>
      <c r="J622" t="str">
        <f t="shared" si="46"/>
        <v/>
      </c>
      <c r="K622" t="str">
        <f t="shared" si="47"/>
        <v/>
      </c>
    </row>
    <row r="623" spans="6:11">
      <c r="F623" t="str">
        <f>IF(B623="Egg Shop","",IF(J623="","",IFERROR(LOOKUP(2,1/(Purchases!$H$3:$H$2002=J623),Purchases!$F$3:$F$2002),"")))</f>
        <v/>
      </c>
      <c r="G623" t="str">
        <f t="shared" si="43"/>
        <v/>
      </c>
      <c r="H623" t="str">
        <f t="shared" si="44"/>
        <v/>
      </c>
      <c r="I623" t="str">
        <f t="shared" si="45"/>
        <v/>
      </c>
      <c r="J623" t="str">
        <f t="shared" si="46"/>
        <v/>
      </c>
      <c r="K623" t="str">
        <f t="shared" si="47"/>
        <v/>
      </c>
    </row>
    <row r="624" spans="6:11">
      <c r="F624" t="str">
        <f>IF(B624="Egg Shop","",IF(J624="","",IFERROR(LOOKUP(2,1/(Purchases!$H$3:$H$2002=J624),Purchases!$F$3:$F$2002),"")))</f>
        <v/>
      </c>
      <c r="G624" t="str">
        <f t="shared" si="43"/>
        <v/>
      </c>
      <c r="H624" t="str">
        <f t="shared" si="44"/>
        <v/>
      </c>
      <c r="I624" t="str">
        <f t="shared" si="45"/>
        <v/>
      </c>
      <c r="J624" t="str">
        <f t="shared" si="46"/>
        <v/>
      </c>
      <c r="K624" t="str">
        <f t="shared" si="47"/>
        <v/>
      </c>
    </row>
    <row r="625" spans="6:11">
      <c r="F625" t="str">
        <f>IF(B625="Egg Shop","",IF(J625="","",IFERROR(LOOKUP(2,1/(Purchases!$H$3:$H$2002=J625),Purchases!$F$3:$F$2002),"")))</f>
        <v/>
      </c>
      <c r="G625" t="str">
        <f t="shared" si="43"/>
        <v/>
      </c>
      <c r="H625" t="str">
        <f t="shared" si="44"/>
        <v/>
      </c>
      <c r="I625" t="str">
        <f t="shared" si="45"/>
        <v/>
      </c>
      <c r="J625" t="str">
        <f t="shared" si="46"/>
        <v/>
      </c>
      <c r="K625" t="str">
        <f t="shared" si="47"/>
        <v/>
      </c>
    </row>
    <row r="626" spans="6:11">
      <c r="F626" t="str">
        <f>IF(B626="Egg Shop","",IF(J626="","",IFERROR(LOOKUP(2,1/(Purchases!$H$3:$H$2002=J626),Purchases!$F$3:$F$2002),"")))</f>
        <v/>
      </c>
      <c r="G626" t="str">
        <f t="shared" si="43"/>
        <v/>
      </c>
      <c r="H626" t="str">
        <f t="shared" si="44"/>
        <v/>
      </c>
      <c r="I626" t="str">
        <f t="shared" si="45"/>
        <v/>
      </c>
      <c r="J626" t="str">
        <f t="shared" si="46"/>
        <v/>
      </c>
      <c r="K626" t="str">
        <f t="shared" si="47"/>
        <v/>
      </c>
    </row>
    <row r="627" spans="6:11">
      <c r="F627" t="str">
        <f>IF(B627="Egg Shop","",IF(J627="","",IFERROR(LOOKUP(2,1/(Purchases!$H$3:$H$2002=J627),Purchases!$F$3:$F$2002),"")))</f>
        <v/>
      </c>
      <c r="G627" t="str">
        <f t="shared" si="43"/>
        <v/>
      </c>
      <c r="H627" t="str">
        <f t="shared" si="44"/>
        <v/>
      </c>
      <c r="I627" t="str">
        <f t="shared" si="45"/>
        <v/>
      </c>
      <c r="J627" t="str">
        <f t="shared" si="46"/>
        <v/>
      </c>
      <c r="K627" t="str">
        <f t="shared" si="47"/>
        <v/>
      </c>
    </row>
    <row r="628" spans="6:11">
      <c r="F628" t="str">
        <f>IF(B628="Egg Shop","",IF(J628="","",IFERROR(LOOKUP(2,1/(Purchases!$H$3:$H$2002=J628),Purchases!$F$3:$F$2002),"")))</f>
        <v/>
      </c>
      <c r="G628" t="str">
        <f t="shared" si="43"/>
        <v/>
      </c>
      <c r="H628" t="str">
        <f t="shared" si="44"/>
        <v/>
      </c>
      <c r="I628" t="str">
        <f t="shared" si="45"/>
        <v/>
      </c>
      <c r="J628" t="str">
        <f t="shared" si="46"/>
        <v/>
      </c>
      <c r="K628" t="str">
        <f t="shared" si="47"/>
        <v/>
      </c>
    </row>
    <row r="629" spans="6:11">
      <c r="F629" t="str">
        <f>IF(B629="Egg Shop","",IF(J629="","",IFERROR(LOOKUP(2,1/(Purchases!$H$3:$H$2002=J629),Purchases!$F$3:$F$2002),"")))</f>
        <v/>
      </c>
      <c r="G629" t="str">
        <f t="shared" si="43"/>
        <v/>
      </c>
      <c r="H629" t="str">
        <f t="shared" si="44"/>
        <v/>
      </c>
      <c r="I629" t="str">
        <f t="shared" si="45"/>
        <v/>
      </c>
      <c r="J629" t="str">
        <f t="shared" si="46"/>
        <v/>
      </c>
      <c r="K629" t="str">
        <f t="shared" si="47"/>
        <v/>
      </c>
    </row>
    <row r="630" spans="6:11">
      <c r="F630" t="str">
        <f>IF(B630="Egg Shop","",IF(J630="","",IFERROR(LOOKUP(2,1/(Purchases!$H$3:$H$2002=J630),Purchases!$F$3:$F$2002),"")))</f>
        <v/>
      </c>
      <c r="G630" t="str">
        <f t="shared" si="43"/>
        <v/>
      </c>
      <c r="H630" t="str">
        <f t="shared" si="44"/>
        <v/>
      </c>
      <c r="I630" t="str">
        <f t="shared" si="45"/>
        <v/>
      </c>
      <c r="J630" t="str">
        <f t="shared" si="46"/>
        <v/>
      </c>
      <c r="K630" t="str">
        <f t="shared" si="47"/>
        <v/>
      </c>
    </row>
    <row r="631" spans="6:11">
      <c r="F631" t="str">
        <f>IF(B631="Egg Shop","",IF(J631="","",IFERROR(LOOKUP(2,1/(Purchases!$H$3:$H$2002=J631),Purchases!$F$3:$F$2002),"")))</f>
        <v/>
      </c>
      <c r="G631" t="str">
        <f t="shared" si="43"/>
        <v/>
      </c>
      <c r="H631" t="str">
        <f t="shared" si="44"/>
        <v/>
      </c>
      <c r="I631" t="str">
        <f t="shared" si="45"/>
        <v/>
      </c>
      <c r="J631" t="str">
        <f t="shared" si="46"/>
        <v/>
      </c>
      <c r="K631" t="str">
        <f t="shared" si="47"/>
        <v/>
      </c>
    </row>
    <row r="632" spans="6:11">
      <c r="F632" t="str">
        <f>IF(B632="Egg Shop","",IF(J632="","",IFERROR(LOOKUP(2,1/(Purchases!$H$3:$H$2002=J632),Purchases!$F$3:$F$2002),"")))</f>
        <v/>
      </c>
      <c r="G632" t="str">
        <f t="shared" si="43"/>
        <v/>
      </c>
      <c r="H632" t="str">
        <f t="shared" si="44"/>
        <v/>
      </c>
      <c r="I632" t="str">
        <f t="shared" si="45"/>
        <v/>
      </c>
      <c r="J632" t="str">
        <f t="shared" si="46"/>
        <v/>
      </c>
      <c r="K632" t="str">
        <f t="shared" si="47"/>
        <v/>
      </c>
    </row>
    <row r="633" spans="6:11">
      <c r="F633" t="str">
        <f>IF(B633="Egg Shop","",IF(J633="","",IFERROR(LOOKUP(2,1/(Purchases!$H$3:$H$2002=J633),Purchases!$F$3:$F$2002),"")))</f>
        <v/>
      </c>
      <c r="G633" t="str">
        <f t="shared" si="43"/>
        <v/>
      </c>
      <c r="H633" t="str">
        <f t="shared" si="44"/>
        <v/>
      </c>
      <c r="I633" t="str">
        <f t="shared" si="45"/>
        <v/>
      </c>
      <c r="J633" t="str">
        <f t="shared" si="46"/>
        <v/>
      </c>
      <c r="K633" t="str">
        <f t="shared" si="47"/>
        <v/>
      </c>
    </row>
    <row r="634" spans="6:11">
      <c r="F634" t="str">
        <f>IF(B634="Egg Shop","",IF(J634="","",IFERROR(LOOKUP(2,1/(Purchases!$H$3:$H$2002=J634),Purchases!$F$3:$F$2002),"")))</f>
        <v/>
      </c>
      <c r="G634" t="str">
        <f t="shared" si="43"/>
        <v/>
      </c>
      <c r="H634" t="str">
        <f t="shared" si="44"/>
        <v/>
      </c>
      <c r="I634" t="str">
        <f t="shared" si="45"/>
        <v/>
      </c>
      <c r="J634" t="str">
        <f t="shared" si="46"/>
        <v/>
      </c>
      <c r="K634" t="str">
        <f t="shared" si="47"/>
        <v/>
      </c>
    </row>
    <row r="635" spans="6:11">
      <c r="F635" t="str">
        <f>IF(B635="Egg Shop","",IF(J635="","",IFERROR(LOOKUP(2,1/(Purchases!$H$3:$H$2002=J635),Purchases!$F$3:$F$2002),"")))</f>
        <v/>
      </c>
      <c r="G635" t="str">
        <f t="shared" si="43"/>
        <v/>
      </c>
      <c r="H635" t="str">
        <f t="shared" si="44"/>
        <v/>
      </c>
      <c r="I635" t="str">
        <f t="shared" si="45"/>
        <v/>
      </c>
      <c r="J635" t="str">
        <f t="shared" si="46"/>
        <v/>
      </c>
      <c r="K635" t="str">
        <f t="shared" si="47"/>
        <v/>
      </c>
    </row>
    <row r="636" spans="6:11">
      <c r="F636" t="str">
        <f>IF(B636="Egg Shop","",IF(J636="","",IFERROR(LOOKUP(2,1/(Purchases!$H$3:$H$2002=J636),Purchases!$F$3:$F$2002),"")))</f>
        <v/>
      </c>
      <c r="G636" t="str">
        <f t="shared" si="43"/>
        <v/>
      </c>
      <c r="H636" t="str">
        <f t="shared" si="44"/>
        <v/>
      </c>
      <c r="I636" t="str">
        <f t="shared" si="45"/>
        <v/>
      </c>
      <c r="J636" t="str">
        <f t="shared" si="46"/>
        <v/>
      </c>
      <c r="K636" t="str">
        <f t="shared" si="47"/>
        <v/>
      </c>
    </row>
    <row r="637" spans="6:11">
      <c r="F637" t="str">
        <f>IF(B637="Egg Shop","",IF(J637="","",IFERROR(LOOKUP(2,1/(Purchases!$H$3:$H$2002=J637),Purchases!$F$3:$F$2002),"")))</f>
        <v/>
      </c>
      <c r="G637" t="str">
        <f t="shared" si="43"/>
        <v/>
      </c>
      <c r="H637" t="str">
        <f t="shared" si="44"/>
        <v/>
      </c>
      <c r="I637" t="str">
        <f t="shared" si="45"/>
        <v/>
      </c>
      <c r="J637" t="str">
        <f t="shared" si="46"/>
        <v/>
      </c>
      <c r="K637" t="str">
        <f t="shared" si="47"/>
        <v/>
      </c>
    </row>
    <row r="638" spans="6:11">
      <c r="F638" t="str">
        <f>IF(B638="Egg Shop","",IF(J638="","",IFERROR(LOOKUP(2,1/(Purchases!$H$3:$H$2002=J638),Purchases!$F$3:$F$2002),"")))</f>
        <v/>
      </c>
      <c r="G638" t="str">
        <f t="shared" si="43"/>
        <v/>
      </c>
      <c r="H638" t="str">
        <f t="shared" si="44"/>
        <v/>
      </c>
      <c r="I638" t="str">
        <f t="shared" si="45"/>
        <v/>
      </c>
      <c r="J638" t="str">
        <f t="shared" si="46"/>
        <v/>
      </c>
      <c r="K638" t="str">
        <f t="shared" si="47"/>
        <v/>
      </c>
    </row>
    <row r="639" spans="6:11">
      <c r="F639" t="str">
        <f>IF(B639="Egg Shop","",IF(J639="","",IFERROR(LOOKUP(2,1/(Purchases!$H$3:$H$2002=J639),Purchases!$F$3:$F$2002),"")))</f>
        <v/>
      </c>
      <c r="G639" t="str">
        <f t="shared" si="43"/>
        <v/>
      </c>
      <c r="H639" t="str">
        <f t="shared" si="44"/>
        <v/>
      </c>
      <c r="I639" t="str">
        <f t="shared" si="45"/>
        <v/>
      </c>
      <c r="J639" t="str">
        <f t="shared" si="46"/>
        <v/>
      </c>
      <c r="K639" t="str">
        <f t="shared" si="47"/>
        <v/>
      </c>
    </row>
    <row r="640" spans="6:11">
      <c r="F640" t="str">
        <f>IF(B640="Egg Shop","",IF(J640="","",IFERROR(LOOKUP(2,1/(Purchases!$H$3:$H$2002=J640),Purchases!$F$3:$F$2002),"")))</f>
        <v/>
      </c>
      <c r="G640" t="str">
        <f t="shared" si="43"/>
        <v/>
      </c>
      <c r="H640" t="str">
        <f t="shared" si="44"/>
        <v/>
      </c>
      <c r="I640" t="str">
        <f t="shared" si="45"/>
        <v/>
      </c>
      <c r="J640" t="str">
        <f t="shared" si="46"/>
        <v/>
      </c>
      <c r="K640" t="str">
        <f t="shared" si="47"/>
        <v/>
      </c>
    </row>
    <row r="641" spans="6:11">
      <c r="F641" t="str">
        <f>IF(B641="Egg Shop","",IF(J641="","",IFERROR(LOOKUP(2,1/(Purchases!$H$3:$H$2002=J641),Purchases!$F$3:$F$2002),"")))</f>
        <v/>
      </c>
      <c r="G641" t="str">
        <f t="shared" si="43"/>
        <v/>
      </c>
      <c r="H641" t="str">
        <f t="shared" si="44"/>
        <v/>
      </c>
      <c r="I641" t="str">
        <f t="shared" si="45"/>
        <v/>
      </c>
      <c r="J641" t="str">
        <f t="shared" si="46"/>
        <v/>
      </c>
      <c r="K641" t="str">
        <f t="shared" si="47"/>
        <v/>
      </c>
    </row>
    <row r="642" spans="6:11">
      <c r="F642" t="str">
        <f>IF(B642="Egg Shop","",IF(J642="","",IFERROR(LOOKUP(2,1/(Purchases!$H$3:$H$2002=J642),Purchases!$F$3:$F$2002),"")))</f>
        <v/>
      </c>
      <c r="G642" t="str">
        <f t="shared" si="43"/>
        <v/>
      </c>
      <c r="H642" t="str">
        <f t="shared" si="44"/>
        <v/>
      </c>
      <c r="I642" t="str">
        <f t="shared" si="45"/>
        <v/>
      </c>
      <c r="J642" t="str">
        <f t="shared" si="46"/>
        <v/>
      </c>
      <c r="K642" t="str">
        <f t="shared" si="47"/>
        <v/>
      </c>
    </row>
    <row r="643" spans="6:11">
      <c r="F643" t="str">
        <f>IF(B643="Egg Shop","",IF(J643="","",IFERROR(LOOKUP(2,1/(Purchases!$H$3:$H$2002=J643),Purchases!$F$3:$F$2002),"")))</f>
        <v/>
      </c>
      <c r="G643" t="str">
        <f t="shared" ref="G643:G706" si="48">IF(OR(D643="",E643=""),"",D643*E643)</f>
        <v/>
      </c>
      <c r="H643" t="str">
        <f t="shared" ref="H643:H706" si="49">IF(OR(D643="",F643=""),"",D643*F643)</f>
        <v/>
      </c>
      <c r="I643" t="str">
        <f t="shared" ref="I643:I706" si="50">IF(OR(G643="",H643=""),"",G643-H643)</f>
        <v/>
      </c>
      <c r="J643" t="str">
        <f t="shared" ref="J643:J706" si="51">IF(OR(B643="",C643=""),"",B643&amp;"|"&amp;C643)</f>
        <v/>
      </c>
      <c r="K643" t="str">
        <f t="shared" si="47"/>
        <v/>
      </c>
    </row>
    <row r="644" spans="6:11">
      <c r="F644" t="str">
        <f>IF(B644="Egg Shop","",IF(J644="","",IFERROR(LOOKUP(2,1/(Purchases!$H$3:$H$2002=J644),Purchases!$F$3:$F$2002),"")))</f>
        <v/>
      </c>
      <c r="G644" t="str">
        <f t="shared" si="48"/>
        <v/>
      </c>
      <c r="H644" t="str">
        <f t="shared" si="49"/>
        <v/>
      </c>
      <c r="I644" t="str">
        <f t="shared" si="50"/>
        <v/>
      </c>
      <c r="J644" t="str">
        <f t="shared" si="51"/>
        <v/>
      </c>
      <c r="K644" t="str">
        <f t="shared" si="47"/>
        <v/>
      </c>
    </row>
    <row r="645" spans="6:11">
      <c r="F645" t="str">
        <f>IF(B645="Egg Shop","",IF(J645="","",IFERROR(LOOKUP(2,1/(Purchases!$H$3:$H$2002=J645),Purchases!$F$3:$F$2002),"")))</f>
        <v/>
      </c>
      <c r="G645" t="str">
        <f t="shared" si="48"/>
        <v/>
      </c>
      <c r="H645" t="str">
        <f t="shared" si="49"/>
        <v/>
      </c>
      <c r="I645" t="str">
        <f t="shared" si="50"/>
        <v/>
      </c>
      <c r="J645" t="str">
        <f t="shared" si="51"/>
        <v/>
      </c>
      <c r="K645" t="str">
        <f t="shared" si="47"/>
        <v/>
      </c>
    </row>
    <row r="646" spans="6:11">
      <c r="F646" t="str">
        <f>IF(B646="Egg Shop","",IF(J646="","",IFERROR(LOOKUP(2,1/(Purchases!$H$3:$H$2002=J646),Purchases!$F$3:$F$2002),"")))</f>
        <v/>
      </c>
      <c r="G646" t="str">
        <f t="shared" si="48"/>
        <v/>
      </c>
      <c r="H646" t="str">
        <f t="shared" si="49"/>
        <v/>
      </c>
      <c r="I646" t="str">
        <f t="shared" si="50"/>
        <v/>
      </c>
      <c r="J646" t="str">
        <f t="shared" si="51"/>
        <v/>
      </c>
      <c r="K646" t="str">
        <f t="shared" si="47"/>
        <v/>
      </c>
    </row>
    <row r="647" spans="6:11">
      <c r="F647" t="str">
        <f>IF(B647="Egg Shop","",IF(J647="","",IFERROR(LOOKUP(2,1/(Purchases!$H$3:$H$2002=J647),Purchases!$F$3:$F$2002),"")))</f>
        <v/>
      </c>
      <c r="G647" t="str">
        <f t="shared" si="48"/>
        <v/>
      </c>
      <c r="H647" t="str">
        <f t="shared" si="49"/>
        <v/>
      </c>
      <c r="I647" t="str">
        <f t="shared" si="50"/>
        <v/>
      </c>
      <c r="J647" t="str">
        <f t="shared" si="51"/>
        <v/>
      </c>
      <c r="K647" t="str">
        <f t="shared" si="47"/>
        <v/>
      </c>
    </row>
    <row r="648" spans="6:11">
      <c r="F648" t="str">
        <f>IF(B648="Egg Shop","",IF(J648="","",IFERROR(LOOKUP(2,1/(Purchases!$H$3:$H$2002=J648),Purchases!$F$3:$F$2002),"")))</f>
        <v/>
      </c>
      <c r="G648" t="str">
        <f t="shared" si="48"/>
        <v/>
      </c>
      <c r="H648" t="str">
        <f t="shared" si="49"/>
        <v/>
      </c>
      <c r="I648" t="str">
        <f t="shared" si="50"/>
        <v/>
      </c>
      <c r="J648" t="str">
        <f t="shared" si="51"/>
        <v/>
      </c>
      <c r="K648" t="str">
        <f t="shared" si="47"/>
        <v/>
      </c>
    </row>
    <row r="649" spans="6:11">
      <c r="F649" t="str">
        <f>IF(B649="Egg Shop","",IF(J649="","",IFERROR(LOOKUP(2,1/(Purchases!$H$3:$H$2002=J649),Purchases!$F$3:$F$2002),"")))</f>
        <v/>
      </c>
      <c r="G649" t="str">
        <f t="shared" si="48"/>
        <v/>
      </c>
      <c r="H649" t="str">
        <f t="shared" si="49"/>
        <v/>
      </c>
      <c r="I649" t="str">
        <f t="shared" si="50"/>
        <v/>
      </c>
      <c r="J649" t="str">
        <f t="shared" si="51"/>
        <v/>
      </c>
      <c r="K649" t="str">
        <f t="shared" si="47"/>
        <v/>
      </c>
    </row>
    <row r="650" spans="6:11">
      <c r="F650" t="str">
        <f>IF(B650="Egg Shop","",IF(J650="","",IFERROR(LOOKUP(2,1/(Purchases!$H$3:$H$2002=J650),Purchases!$F$3:$F$2002),"")))</f>
        <v/>
      </c>
      <c r="G650" t="str">
        <f t="shared" si="48"/>
        <v/>
      </c>
      <c r="H650" t="str">
        <f t="shared" si="49"/>
        <v/>
      </c>
      <c r="I650" t="str">
        <f t="shared" si="50"/>
        <v/>
      </c>
      <c r="J650" t="str">
        <f t="shared" si="51"/>
        <v/>
      </c>
      <c r="K650" t="str">
        <f t="shared" si="47"/>
        <v/>
      </c>
    </row>
    <row r="651" spans="6:11">
      <c r="F651" t="str">
        <f>IF(B651="Egg Shop","",IF(J651="","",IFERROR(LOOKUP(2,1/(Purchases!$H$3:$H$2002=J651),Purchases!$F$3:$F$2002),"")))</f>
        <v/>
      </c>
      <c r="G651" t="str">
        <f t="shared" si="48"/>
        <v/>
      </c>
      <c r="H651" t="str">
        <f t="shared" si="49"/>
        <v/>
      </c>
      <c r="I651" t="str">
        <f t="shared" si="50"/>
        <v/>
      </c>
      <c r="J651" t="str">
        <f t="shared" si="51"/>
        <v/>
      </c>
      <c r="K651" t="str">
        <f t="shared" si="47"/>
        <v/>
      </c>
    </row>
    <row r="652" spans="6:11">
      <c r="F652" t="str">
        <f>IF(B652="Egg Shop","",IF(J652="","",IFERROR(LOOKUP(2,1/(Purchases!$H$3:$H$2002=J652),Purchases!$F$3:$F$2002),"")))</f>
        <v/>
      </c>
      <c r="G652" t="str">
        <f t="shared" si="48"/>
        <v/>
      </c>
      <c r="H652" t="str">
        <f t="shared" si="49"/>
        <v/>
      </c>
      <c r="I652" t="str">
        <f t="shared" si="50"/>
        <v/>
      </c>
      <c r="J652" t="str">
        <f t="shared" si="51"/>
        <v/>
      </c>
      <c r="K652" t="str">
        <f t="shared" si="47"/>
        <v/>
      </c>
    </row>
    <row r="653" spans="6:11">
      <c r="F653" t="str">
        <f>IF(B653="Egg Shop","",IF(J653="","",IFERROR(LOOKUP(2,1/(Purchases!$H$3:$H$2002=J653),Purchases!$F$3:$F$2002),"")))</f>
        <v/>
      </c>
      <c r="G653" t="str">
        <f t="shared" si="48"/>
        <v/>
      </c>
      <c r="H653" t="str">
        <f t="shared" si="49"/>
        <v/>
      </c>
      <c r="I653" t="str">
        <f t="shared" si="50"/>
        <v/>
      </c>
      <c r="J653" t="str">
        <f t="shared" si="51"/>
        <v/>
      </c>
      <c r="K653" t="str">
        <f t="shared" si="47"/>
        <v/>
      </c>
    </row>
    <row r="654" spans="6:11">
      <c r="F654" t="str">
        <f>IF(B654="Egg Shop","",IF(J654="","",IFERROR(LOOKUP(2,1/(Purchases!$H$3:$H$2002=J654),Purchases!$F$3:$F$2002),"")))</f>
        <v/>
      </c>
      <c r="G654" t="str">
        <f t="shared" si="48"/>
        <v/>
      </c>
      <c r="H654" t="str">
        <f t="shared" si="49"/>
        <v/>
      </c>
      <c r="I654" t="str">
        <f t="shared" si="50"/>
        <v/>
      </c>
      <c r="J654" t="str">
        <f t="shared" si="51"/>
        <v/>
      </c>
      <c r="K654" t="str">
        <f t="shared" si="47"/>
        <v/>
      </c>
    </row>
    <row r="655" spans="6:11">
      <c r="F655" t="str">
        <f>IF(B655="Egg Shop","",IF(J655="","",IFERROR(LOOKUP(2,1/(Purchases!$H$3:$H$2002=J655),Purchases!$F$3:$F$2002),"")))</f>
        <v/>
      </c>
      <c r="G655" t="str">
        <f t="shared" si="48"/>
        <v/>
      </c>
      <c r="H655" t="str">
        <f t="shared" si="49"/>
        <v/>
      </c>
      <c r="I655" t="str">
        <f t="shared" si="50"/>
        <v/>
      </c>
      <c r="J655" t="str">
        <f t="shared" si="51"/>
        <v/>
      </c>
      <c r="K655" t="str">
        <f t="shared" si="47"/>
        <v/>
      </c>
    </row>
    <row r="656" spans="6:11">
      <c r="F656" t="str">
        <f>IF(B656="Egg Shop","",IF(J656="","",IFERROR(LOOKUP(2,1/(Purchases!$H$3:$H$2002=J656),Purchases!$F$3:$F$2002),"")))</f>
        <v/>
      </c>
      <c r="G656" t="str">
        <f t="shared" si="48"/>
        <v/>
      </c>
      <c r="H656" t="str">
        <f t="shared" si="49"/>
        <v/>
      </c>
      <c r="I656" t="str">
        <f t="shared" si="50"/>
        <v/>
      </c>
      <c r="J656" t="str">
        <f t="shared" si="51"/>
        <v/>
      </c>
      <c r="K656" t="str">
        <f t="shared" si="47"/>
        <v/>
      </c>
    </row>
    <row r="657" spans="6:11">
      <c r="F657" t="str">
        <f>IF(B657="Egg Shop","",IF(J657="","",IFERROR(LOOKUP(2,1/(Purchases!$H$3:$H$2002=J657),Purchases!$F$3:$F$2002),"")))</f>
        <v/>
      </c>
      <c r="G657" t="str">
        <f t="shared" si="48"/>
        <v/>
      </c>
      <c r="H657" t="str">
        <f t="shared" si="49"/>
        <v/>
      </c>
      <c r="I657" t="str">
        <f t="shared" si="50"/>
        <v/>
      </c>
      <c r="J657" t="str">
        <f t="shared" si="51"/>
        <v/>
      </c>
      <c r="K657" t="str">
        <f t="shared" si="47"/>
        <v/>
      </c>
    </row>
    <row r="658" spans="6:11">
      <c r="F658" t="str">
        <f>IF(B658="Egg Shop","",IF(J658="","",IFERROR(LOOKUP(2,1/(Purchases!$H$3:$H$2002=J658),Purchases!$F$3:$F$2002),"")))</f>
        <v/>
      </c>
      <c r="G658" t="str">
        <f t="shared" si="48"/>
        <v/>
      </c>
      <c r="H658" t="str">
        <f t="shared" si="49"/>
        <v/>
      </c>
      <c r="I658" t="str">
        <f t="shared" si="50"/>
        <v/>
      </c>
      <c r="J658" t="str">
        <f t="shared" si="51"/>
        <v/>
      </c>
      <c r="K658" t="str">
        <f t="shared" ref="K658:K721" si="52">IF(A658&lt;&gt;"","Cash","")</f>
        <v/>
      </c>
    </row>
    <row r="659" spans="6:11">
      <c r="F659" t="str">
        <f>IF(B659="Egg Shop","",IF(J659="","",IFERROR(LOOKUP(2,1/(Purchases!$H$3:$H$2002=J659),Purchases!$F$3:$F$2002),"")))</f>
        <v/>
      </c>
      <c r="G659" t="str">
        <f t="shared" si="48"/>
        <v/>
      </c>
      <c r="H659" t="str">
        <f t="shared" si="49"/>
        <v/>
      </c>
      <c r="I659" t="str">
        <f t="shared" si="50"/>
        <v/>
      </c>
      <c r="J659" t="str">
        <f t="shared" si="51"/>
        <v/>
      </c>
      <c r="K659" t="str">
        <f t="shared" si="52"/>
        <v/>
      </c>
    </row>
    <row r="660" spans="6:11">
      <c r="F660" t="str">
        <f>IF(B660="Egg Shop","",IF(J660="","",IFERROR(LOOKUP(2,1/(Purchases!$H$3:$H$2002=J660),Purchases!$F$3:$F$2002),"")))</f>
        <v/>
      </c>
      <c r="G660" t="str">
        <f t="shared" si="48"/>
        <v/>
      </c>
      <c r="H660" t="str">
        <f t="shared" si="49"/>
        <v/>
      </c>
      <c r="I660" t="str">
        <f t="shared" si="50"/>
        <v/>
      </c>
      <c r="J660" t="str">
        <f t="shared" si="51"/>
        <v/>
      </c>
      <c r="K660" t="str">
        <f t="shared" si="52"/>
        <v/>
      </c>
    </row>
    <row r="661" spans="6:11">
      <c r="F661" t="str">
        <f>IF(B661="Egg Shop","",IF(J661="","",IFERROR(LOOKUP(2,1/(Purchases!$H$3:$H$2002=J661),Purchases!$F$3:$F$2002),"")))</f>
        <v/>
      </c>
      <c r="G661" t="str">
        <f t="shared" si="48"/>
        <v/>
      </c>
      <c r="H661" t="str">
        <f t="shared" si="49"/>
        <v/>
      </c>
      <c r="I661" t="str">
        <f t="shared" si="50"/>
        <v/>
      </c>
      <c r="J661" t="str">
        <f t="shared" si="51"/>
        <v/>
      </c>
      <c r="K661" t="str">
        <f t="shared" si="52"/>
        <v/>
      </c>
    </row>
    <row r="662" spans="6:11">
      <c r="F662" t="str">
        <f>IF(B662="Egg Shop","",IF(J662="","",IFERROR(LOOKUP(2,1/(Purchases!$H$3:$H$2002=J662),Purchases!$F$3:$F$2002),"")))</f>
        <v/>
      </c>
      <c r="G662" t="str">
        <f t="shared" si="48"/>
        <v/>
      </c>
      <c r="H662" t="str">
        <f t="shared" si="49"/>
        <v/>
      </c>
      <c r="I662" t="str">
        <f t="shared" si="50"/>
        <v/>
      </c>
      <c r="J662" t="str">
        <f t="shared" si="51"/>
        <v/>
      </c>
      <c r="K662" t="str">
        <f t="shared" si="52"/>
        <v/>
      </c>
    </row>
    <row r="663" spans="6:11">
      <c r="F663" t="str">
        <f>IF(B663="Egg Shop","",IF(J663="","",IFERROR(LOOKUP(2,1/(Purchases!$H$3:$H$2002=J663),Purchases!$F$3:$F$2002),"")))</f>
        <v/>
      </c>
      <c r="G663" t="str">
        <f t="shared" si="48"/>
        <v/>
      </c>
      <c r="H663" t="str">
        <f t="shared" si="49"/>
        <v/>
      </c>
      <c r="I663" t="str">
        <f t="shared" si="50"/>
        <v/>
      </c>
      <c r="J663" t="str">
        <f t="shared" si="51"/>
        <v/>
      </c>
      <c r="K663" t="str">
        <f t="shared" si="52"/>
        <v/>
      </c>
    </row>
    <row r="664" spans="6:11">
      <c r="F664" t="str">
        <f>IF(B664="Egg Shop","",IF(J664="","",IFERROR(LOOKUP(2,1/(Purchases!$H$3:$H$2002=J664),Purchases!$F$3:$F$2002),"")))</f>
        <v/>
      </c>
      <c r="G664" t="str">
        <f t="shared" si="48"/>
        <v/>
      </c>
      <c r="H664" t="str">
        <f t="shared" si="49"/>
        <v/>
      </c>
      <c r="I664" t="str">
        <f t="shared" si="50"/>
        <v/>
      </c>
      <c r="J664" t="str">
        <f t="shared" si="51"/>
        <v/>
      </c>
      <c r="K664" t="str">
        <f t="shared" si="52"/>
        <v/>
      </c>
    </row>
    <row r="665" spans="6:11">
      <c r="F665" t="str">
        <f>IF(B665="Egg Shop","",IF(J665="","",IFERROR(LOOKUP(2,1/(Purchases!$H$3:$H$2002=J665),Purchases!$F$3:$F$2002),"")))</f>
        <v/>
      </c>
      <c r="G665" t="str">
        <f t="shared" si="48"/>
        <v/>
      </c>
      <c r="H665" t="str">
        <f t="shared" si="49"/>
        <v/>
      </c>
      <c r="I665" t="str">
        <f t="shared" si="50"/>
        <v/>
      </c>
      <c r="J665" t="str">
        <f t="shared" si="51"/>
        <v/>
      </c>
      <c r="K665" t="str">
        <f t="shared" si="52"/>
        <v/>
      </c>
    </row>
    <row r="666" spans="6:11">
      <c r="F666" t="str">
        <f>IF(B666="Egg Shop","",IF(J666="","",IFERROR(LOOKUP(2,1/(Purchases!$H$3:$H$2002=J666),Purchases!$F$3:$F$2002),"")))</f>
        <v/>
      </c>
      <c r="G666" t="str">
        <f t="shared" si="48"/>
        <v/>
      </c>
      <c r="H666" t="str">
        <f t="shared" si="49"/>
        <v/>
      </c>
      <c r="I666" t="str">
        <f t="shared" si="50"/>
        <v/>
      </c>
      <c r="J666" t="str">
        <f t="shared" si="51"/>
        <v/>
      </c>
      <c r="K666" t="str">
        <f t="shared" si="52"/>
        <v/>
      </c>
    </row>
    <row r="667" spans="6:11">
      <c r="F667" t="str">
        <f>IF(B667="Egg Shop","",IF(J667="","",IFERROR(LOOKUP(2,1/(Purchases!$H$3:$H$2002=J667),Purchases!$F$3:$F$2002),"")))</f>
        <v/>
      </c>
      <c r="G667" t="str">
        <f t="shared" si="48"/>
        <v/>
      </c>
      <c r="H667" t="str">
        <f t="shared" si="49"/>
        <v/>
      </c>
      <c r="I667" t="str">
        <f t="shared" si="50"/>
        <v/>
      </c>
      <c r="J667" t="str">
        <f t="shared" si="51"/>
        <v/>
      </c>
      <c r="K667" t="str">
        <f t="shared" si="52"/>
        <v/>
      </c>
    </row>
    <row r="668" spans="6:11">
      <c r="F668" t="str">
        <f>IF(B668="Egg Shop","",IF(J668="","",IFERROR(LOOKUP(2,1/(Purchases!$H$3:$H$2002=J668),Purchases!$F$3:$F$2002),"")))</f>
        <v/>
      </c>
      <c r="G668" t="str">
        <f t="shared" si="48"/>
        <v/>
      </c>
      <c r="H668" t="str">
        <f t="shared" si="49"/>
        <v/>
      </c>
      <c r="I668" t="str">
        <f t="shared" si="50"/>
        <v/>
      </c>
      <c r="J668" t="str">
        <f t="shared" si="51"/>
        <v/>
      </c>
      <c r="K668" t="str">
        <f t="shared" si="52"/>
        <v/>
      </c>
    </row>
    <row r="669" spans="6:11">
      <c r="F669" t="str">
        <f>IF(B669="Egg Shop","",IF(J669="","",IFERROR(LOOKUP(2,1/(Purchases!$H$3:$H$2002=J669),Purchases!$F$3:$F$2002),"")))</f>
        <v/>
      </c>
      <c r="G669" t="str">
        <f t="shared" si="48"/>
        <v/>
      </c>
      <c r="H669" t="str">
        <f t="shared" si="49"/>
        <v/>
      </c>
      <c r="I669" t="str">
        <f t="shared" si="50"/>
        <v/>
      </c>
      <c r="J669" t="str">
        <f t="shared" si="51"/>
        <v/>
      </c>
      <c r="K669" t="str">
        <f t="shared" si="52"/>
        <v/>
      </c>
    </row>
    <row r="670" spans="6:11">
      <c r="F670" t="str">
        <f>IF(B670="Egg Shop","",IF(J670="","",IFERROR(LOOKUP(2,1/(Purchases!$H$3:$H$2002=J670),Purchases!$F$3:$F$2002),"")))</f>
        <v/>
      </c>
      <c r="G670" t="str">
        <f t="shared" si="48"/>
        <v/>
      </c>
      <c r="H670" t="str">
        <f t="shared" si="49"/>
        <v/>
      </c>
      <c r="I670" t="str">
        <f t="shared" si="50"/>
        <v/>
      </c>
      <c r="J670" t="str">
        <f t="shared" si="51"/>
        <v/>
      </c>
      <c r="K670" t="str">
        <f t="shared" si="52"/>
        <v/>
      </c>
    </row>
    <row r="671" spans="6:11">
      <c r="F671" t="str">
        <f>IF(B671="Egg Shop","",IF(J671="","",IFERROR(LOOKUP(2,1/(Purchases!$H$3:$H$2002=J671),Purchases!$F$3:$F$2002),"")))</f>
        <v/>
      </c>
      <c r="G671" t="str">
        <f t="shared" si="48"/>
        <v/>
      </c>
      <c r="H671" t="str">
        <f t="shared" si="49"/>
        <v/>
      </c>
      <c r="I671" t="str">
        <f t="shared" si="50"/>
        <v/>
      </c>
      <c r="J671" t="str">
        <f t="shared" si="51"/>
        <v/>
      </c>
      <c r="K671" t="str">
        <f t="shared" si="52"/>
        <v/>
      </c>
    </row>
    <row r="672" spans="6:11">
      <c r="F672" t="str">
        <f>IF(B672="Egg Shop","",IF(J672="","",IFERROR(LOOKUP(2,1/(Purchases!$H$3:$H$2002=J672),Purchases!$F$3:$F$2002),"")))</f>
        <v/>
      </c>
      <c r="G672" t="str">
        <f t="shared" si="48"/>
        <v/>
      </c>
      <c r="H672" t="str">
        <f t="shared" si="49"/>
        <v/>
      </c>
      <c r="I672" t="str">
        <f t="shared" si="50"/>
        <v/>
      </c>
      <c r="J672" t="str">
        <f t="shared" si="51"/>
        <v/>
      </c>
      <c r="K672" t="str">
        <f t="shared" si="52"/>
        <v/>
      </c>
    </row>
    <row r="673" spans="6:11">
      <c r="F673" t="str">
        <f>IF(B673="Egg Shop","",IF(J673="","",IFERROR(LOOKUP(2,1/(Purchases!$H$3:$H$2002=J673),Purchases!$F$3:$F$2002),"")))</f>
        <v/>
      </c>
      <c r="G673" t="str">
        <f t="shared" si="48"/>
        <v/>
      </c>
      <c r="H673" t="str">
        <f t="shared" si="49"/>
        <v/>
      </c>
      <c r="I673" t="str">
        <f t="shared" si="50"/>
        <v/>
      </c>
      <c r="J673" t="str">
        <f t="shared" si="51"/>
        <v/>
      </c>
      <c r="K673" t="str">
        <f t="shared" si="52"/>
        <v/>
      </c>
    </row>
    <row r="674" spans="6:11">
      <c r="F674" t="str">
        <f>IF(B674="Egg Shop","",IF(J674="","",IFERROR(LOOKUP(2,1/(Purchases!$H$3:$H$2002=J674),Purchases!$F$3:$F$2002),"")))</f>
        <v/>
      </c>
      <c r="G674" t="str">
        <f t="shared" si="48"/>
        <v/>
      </c>
      <c r="H674" t="str">
        <f t="shared" si="49"/>
        <v/>
      </c>
      <c r="I674" t="str">
        <f t="shared" si="50"/>
        <v/>
      </c>
      <c r="J674" t="str">
        <f t="shared" si="51"/>
        <v/>
      </c>
      <c r="K674" t="str">
        <f t="shared" si="52"/>
        <v/>
      </c>
    </row>
    <row r="675" spans="6:11">
      <c r="F675" t="str">
        <f>IF(B675="Egg Shop","",IF(J675="","",IFERROR(LOOKUP(2,1/(Purchases!$H$3:$H$2002=J675),Purchases!$F$3:$F$2002),"")))</f>
        <v/>
      </c>
      <c r="G675" t="str">
        <f t="shared" si="48"/>
        <v/>
      </c>
      <c r="H675" t="str">
        <f t="shared" si="49"/>
        <v/>
      </c>
      <c r="I675" t="str">
        <f t="shared" si="50"/>
        <v/>
      </c>
      <c r="J675" t="str">
        <f t="shared" si="51"/>
        <v/>
      </c>
      <c r="K675" t="str">
        <f t="shared" si="52"/>
        <v/>
      </c>
    </row>
    <row r="676" spans="6:11">
      <c r="F676" t="str">
        <f>IF(B676="Egg Shop","",IF(J676="","",IFERROR(LOOKUP(2,1/(Purchases!$H$3:$H$2002=J676),Purchases!$F$3:$F$2002),"")))</f>
        <v/>
      </c>
      <c r="G676" t="str">
        <f t="shared" si="48"/>
        <v/>
      </c>
      <c r="H676" t="str">
        <f t="shared" si="49"/>
        <v/>
      </c>
      <c r="I676" t="str">
        <f t="shared" si="50"/>
        <v/>
      </c>
      <c r="J676" t="str">
        <f t="shared" si="51"/>
        <v/>
      </c>
      <c r="K676" t="str">
        <f t="shared" si="52"/>
        <v/>
      </c>
    </row>
    <row r="677" spans="6:11">
      <c r="F677" t="str">
        <f>IF(B677="Egg Shop","",IF(J677="","",IFERROR(LOOKUP(2,1/(Purchases!$H$3:$H$2002=J677),Purchases!$F$3:$F$2002),"")))</f>
        <v/>
      </c>
      <c r="G677" t="str">
        <f t="shared" si="48"/>
        <v/>
      </c>
      <c r="H677" t="str">
        <f t="shared" si="49"/>
        <v/>
      </c>
      <c r="I677" t="str">
        <f t="shared" si="50"/>
        <v/>
      </c>
      <c r="J677" t="str">
        <f t="shared" si="51"/>
        <v/>
      </c>
      <c r="K677" t="str">
        <f t="shared" si="52"/>
        <v/>
      </c>
    </row>
    <row r="678" spans="6:11">
      <c r="F678" t="str">
        <f>IF(B678="Egg Shop","",IF(J678="","",IFERROR(LOOKUP(2,1/(Purchases!$H$3:$H$2002=J678),Purchases!$F$3:$F$2002),"")))</f>
        <v/>
      </c>
      <c r="G678" t="str">
        <f t="shared" si="48"/>
        <v/>
      </c>
      <c r="H678" t="str">
        <f t="shared" si="49"/>
        <v/>
      </c>
      <c r="I678" t="str">
        <f t="shared" si="50"/>
        <v/>
      </c>
      <c r="J678" t="str">
        <f t="shared" si="51"/>
        <v/>
      </c>
      <c r="K678" t="str">
        <f t="shared" si="52"/>
        <v/>
      </c>
    </row>
    <row r="679" spans="6:11">
      <c r="F679" t="str">
        <f>IF(B679="Egg Shop","",IF(J679="","",IFERROR(LOOKUP(2,1/(Purchases!$H$3:$H$2002=J679),Purchases!$F$3:$F$2002),"")))</f>
        <v/>
      </c>
      <c r="G679" t="str">
        <f t="shared" si="48"/>
        <v/>
      </c>
      <c r="H679" t="str">
        <f t="shared" si="49"/>
        <v/>
      </c>
      <c r="I679" t="str">
        <f t="shared" si="50"/>
        <v/>
      </c>
      <c r="J679" t="str">
        <f t="shared" si="51"/>
        <v/>
      </c>
      <c r="K679" t="str">
        <f t="shared" si="52"/>
        <v/>
      </c>
    </row>
    <row r="680" spans="6:11">
      <c r="F680" t="str">
        <f>IF(B680="Egg Shop","",IF(J680="","",IFERROR(LOOKUP(2,1/(Purchases!$H$3:$H$2002=J680),Purchases!$F$3:$F$2002),"")))</f>
        <v/>
      </c>
      <c r="G680" t="str">
        <f t="shared" si="48"/>
        <v/>
      </c>
      <c r="H680" t="str">
        <f t="shared" si="49"/>
        <v/>
      </c>
      <c r="I680" t="str">
        <f t="shared" si="50"/>
        <v/>
      </c>
      <c r="J680" t="str">
        <f t="shared" si="51"/>
        <v/>
      </c>
      <c r="K680" t="str">
        <f t="shared" si="52"/>
        <v/>
      </c>
    </row>
    <row r="681" spans="6:11">
      <c r="F681" t="str">
        <f>IF(B681="Egg Shop","",IF(J681="","",IFERROR(LOOKUP(2,1/(Purchases!$H$3:$H$2002=J681),Purchases!$F$3:$F$2002),"")))</f>
        <v/>
      </c>
      <c r="G681" t="str">
        <f t="shared" si="48"/>
        <v/>
      </c>
      <c r="H681" t="str">
        <f t="shared" si="49"/>
        <v/>
      </c>
      <c r="I681" t="str">
        <f t="shared" si="50"/>
        <v/>
      </c>
      <c r="J681" t="str">
        <f t="shared" si="51"/>
        <v/>
      </c>
      <c r="K681" t="str">
        <f t="shared" si="52"/>
        <v/>
      </c>
    </row>
    <row r="682" spans="6:11">
      <c r="F682" t="str">
        <f>IF(B682="Egg Shop","",IF(J682="","",IFERROR(LOOKUP(2,1/(Purchases!$H$3:$H$2002=J682),Purchases!$F$3:$F$2002),"")))</f>
        <v/>
      </c>
      <c r="G682" t="str">
        <f t="shared" si="48"/>
        <v/>
      </c>
      <c r="H682" t="str">
        <f t="shared" si="49"/>
        <v/>
      </c>
      <c r="I682" t="str">
        <f t="shared" si="50"/>
        <v/>
      </c>
      <c r="J682" t="str">
        <f t="shared" si="51"/>
        <v/>
      </c>
      <c r="K682" t="str">
        <f t="shared" si="52"/>
        <v/>
      </c>
    </row>
    <row r="683" spans="6:11">
      <c r="F683" t="str">
        <f>IF(B683="Egg Shop","",IF(J683="","",IFERROR(LOOKUP(2,1/(Purchases!$H$3:$H$2002=J683),Purchases!$F$3:$F$2002),"")))</f>
        <v/>
      </c>
      <c r="G683" t="str">
        <f t="shared" si="48"/>
        <v/>
      </c>
      <c r="H683" t="str">
        <f t="shared" si="49"/>
        <v/>
      </c>
      <c r="I683" t="str">
        <f t="shared" si="50"/>
        <v/>
      </c>
      <c r="J683" t="str">
        <f t="shared" si="51"/>
        <v/>
      </c>
      <c r="K683" t="str">
        <f t="shared" si="52"/>
        <v/>
      </c>
    </row>
    <row r="684" spans="6:11">
      <c r="F684" t="str">
        <f>IF(B684="Egg Shop","",IF(J684="","",IFERROR(LOOKUP(2,1/(Purchases!$H$3:$H$2002=J684),Purchases!$F$3:$F$2002),"")))</f>
        <v/>
      </c>
      <c r="G684" t="str">
        <f t="shared" si="48"/>
        <v/>
      </c>
      <c r="H684" t="str">
        <f t="shared" si="49"/>
        <v/>
      </c>
      <c r="I684" t="str">
        <f t="shared" si="50"/>
        <v/>
      </c>
      <c r="J684" t="str">
        <f t="shared" si="51"/>
        <v/>
      </c>
      <c r="K684" t="str">
        <f t="shared" si="52"/>
        <v/>
      </c>
    </row>
    <row r="685" spans="6:11">
      <c r="F685" t="str">
        <f>IF(B685="Egg Shop","",IF(J685="","",IFERROR(LOOKUP(2,1/(Purchases!$H$3:$H$2002=J685),Purchases!$F$3:$F$2002),"")))</f>
        <v/>
      </c>
      <c r="G685" t="str">
        <f t="shared" si="48"/>
        <v/>
      </c>
      <c r="H685" t="str">
        <f t="shared" si="49"/>
        <v/>
      </c>
      <c r="I685" t="str">
        <f t="shared" si="50"/>
        <v/>
      </c>
      <c r="J685" t="str">
        <f t="shared" si="51"/>
        <v/>
      </c>
      <c r="K685" t="str">
        <f t="shared" si="52"/>
        <v/>
      </c>
    </row>
    <row r="686" spans="6:11">
      <c r="F686" t="str">
        <f>IF(B686="Egg Shop","",IF(J686="","",IFERROR(LOOKUP(2,1/(Purchases!$H$3:$H$2002=J686),Purchases!$F$3:$F$2002),"")))</f>
        <v/>
      </c>
      <c r="G686" t="str">
        <f t="shared" si="48"/>
        <v/>
      </c>
      <c r="H686" t="str">
        <f t="shared" si="49"/>
        <v/>
      </c>
      <c r="I686" t="str">
        <f t="shared" si="50"/>
        <v/>
      </c>
      <c r="J686" t="str">
        <f t="shared" si="51"/>
        <v/>
      </c>
      <c r="K686" t="str">
        <f t="shared" si="52"/>
        <v/>
      </c>
    </row>
    <row r="687" spans="6:11">
      <c r="F687" t="str">
        <f>IF(B687="Egg Shop","",IF(J687="","",IFERROR(LOOKUP(2,1/(Purchases!$H$3:$H$2002=J687),Purchases!$F$3:$F$2002),"")))</f>
        <v/>
      </c>
      <c r="G687" t="str">
        <f t="shared" si="48"/>
        <v/>
      </c>
      <c r="H687" t="str">
        <f t="shared" si="49"/>
        <v/>
      </c>
      <c r="I687" t="str">
        <f t="shared" si="50"/>
        <v/>
      </c>
      <c r="J687" t="str">
        <f t="shared" si="51"/>
        <v/>
      </c>
      <c r="K687" t="str">
        <f t="shared" si="52"/>
        <v/>
      </c>
    </row>
    <row r="688" spans="6:11">
      <c r="F688" t="str">
        <f>IF(B688="Egg Shop","",IF(J688="","",IFERROR(LOOKUP(2,1/(Purchases!$H$3:$H$2002=J688),Purchases!$F$3:$F$2002),"")))</f>
        <v/>
      </c>
      <c r="G688" t="str">
        <f t="shared" si="48"/>
        <v/>
      </c>
      <c r="H688" t="str">
        <f t="shared" si="49"/>
        <v/>
      </c>
      <c r="I688" t="str">
        <f t="shared" si="50"/>
        <v/>
      </c>
      <c r="J688" t="str">
        <f t="shared" si="51"/>
        <v/>
      </c>
      <c r="K688" t="str">
        <f t="shared" si="52"/>
        <v/>
      </c>
    </row>
    <row r="689" spans="6:11">
      <c r="F689" t="str">
        <f>IF(B689="Egg Shop","",IF(J689="","",IFERROR(LOOKUP(2,1/(Purchases!$H$3:$H$2002=J689),Purchases!$F$3:$F$2002),"")))</f>
        <v/>
      </c>
      <c r="G689" t="str">
        <f t="shared" si="48"/>
        <v/>
      </c>
      <c r="H689" t="str">
        <f t="shared" si="49"/>
        <v/>
      </c>
      <c r="I689" t="str">
        <f t="shared" si="50"/>
        <v/>
      </c>
      <c r="J689" t="str">
        <f t="shared" si="51"/>
        <v/>
      </c>
      <c r="K689" t="str">
        <f t="shared" si="52"/>
        <v/>
      </c>
    </row>
    <row r="690" spans="6:11">
      <c r="F690" t="str">
        <f>IF(B690="Egg Shop","",IF(J690="","",IFERROR(LOOKUP(2,1/(Purchases!$H$3:$H$2002=J690),Purchases!$F$3:$F$2002),"")))</f>
        <v/>
      </c>
      <c r="G690" t="str">
        <f t="shared" si="48"/>
        <v/>
      </c>
      <c r="H690" t="str">
        <f t="shared" si="49"/>
        <v/>
      </c>
      <c r="I690" t="str">
        <f t="shared" si="50"/>
        <v/>
      </c>
      <c r="J690" t="str">
        <f t="shared" si="51"/>
        <v/>
      </c>
      <c r="K690" t="str">
        <f t="shared" si="52"/>
        <v/>
      </c>
    </row>
    <row r="691" spans="6:11">
      <c r="F691" t="str">
        <f>IF(B691="Egg Shop","",IF(J691="","",IFERROR(LOOKUP(2,1/(Purchases!$H$3:$H$2002=J691),Purchases!$F$3:$F$2002),"")))</f>
        <v/>
      </c>
      <c r="G691" t="str">
        <f t="shared" si="48"/>
        <v/>
      </c>
      <c r="H691" t="str">
        <f t="shared" si="49"/>
        <v/>
      </c>
      <c r="I691" t="str">
        <f t="shared" si="50"/>
        <v/>
      </c>
      <c r="J691" t="str">
        <f t="shared" si="51"/>
        <v/>
      </c>
      <c r="K691" t="str">
        <f t="shared" si="52"/>
        <v/>
      </c>
    </row>
    <row r="692" spans="6:11">
      <c r="F692" t="str">
        <f>IF(B692="Egg Shop","",IF(J692="","",IFERROR(LOOKUP(2,1/(Purchases!$H$3:$H$2002=J692),Purchases!$F$3:$F$2002),"")))</f>
        <v/>
      </c>
      <c r="G692" t="str">
        <f t="shared" si="48"/>
        <v/>
      </c>
      <c r="H692" t="str">
        <f t="shared" si="49"/>
        <v/>
      </c>
      <c r="I692" t="str">
        <f t="shared" si="50"/>
        <v/>
      </c>
      <c r="J692" t="str">
        <f t="shared" si="51"/>
        <v/>
      </c>
      <c r="K692" t="str">
        <f t="shared" si="52"/>
        <v/>
      </c>
    </row>
    <row r="693" spans="6:11">
      <c r="F693" t="str">
        <f>IF(B693="Egg Shop","",IF(J693="","",IFERROR(LOOKUP(2,1/(Purchases!$H$3:$H$2002=J693),Purchases!$F$3:$F$2002),"")))</f>
        <v/>
      </c>
      <c r="G693" t="str">
        <f t="shared" si="48"/>
        <v/>
      </c>
      <c r="H693" t="str">
        <f t="shared" si="49"/>
        <v/>
      </c>
      <c r="I693" t="str">
        <f t="shared" si="50"/>
        <v/>
      </c>
      <c r="J693" t="str">
        <f t="shared" si="51"/>
        <v/>
      </c>
      <c r="K693" t="str">
        <f t="shared" si="52"/>
        <v/>
      </c>
    </row>
    <row r="694" spans="6:11">
      <c r="F694" t="str">
        <f>IF(B694="Egg Shop","",IF(J694="","",IFERROR(LOOKUP(2,1/(Purchases!$H$3:$H$2002=J694),Purchases!$F$3:$F$2002),"")))</f>
        <v/>
      </c>
      <c r="G694" t="str">
        <f t="shared" si="48"/>
        <v/>
      </c>
      <c r="H694" t="str">
        <f t="shared" si="49"/>
        <v/>
      </c>
      <c r="I694" t="str">
        <f t="shared" si="50"/>
        <v/>
      </c>
      <c r="J694" t="str">
        <f t="shared" si="51"/>
        <v/>
      </c>
      <c r="K694" t="str">
        <f t="shared" si="52"/>
        <v/>
      </c>
    </row>
    <row r="695" spans="6:11">
      <c r="F695" t="str">
        <f>IF(B695="Egg Shop","",IF(J695="","",IFERROR(LOOKUP(2,1/(Purchases!$H$3:$H$2002=J695),Purchases!$F$3:$F$2002),"")))</f>
        <v/>
      </c>
      <c r="G695" t="str">
        <f t="shared" si="48"/>
        <v/>
      </c>
      <c r="H695" t="str">
        <f t="shared" si="49"/>
        <v/>
      </c>
      <c r="I695" t="str">
        <f t="shared" si="50"/>
        <v/>
      </c>
      <c r="J695" t="str">
        <f t="shared" si="51"/>
        <v/>
      </c>
      <c r="K695" t="str">
        <f t="shared" si="52"/>
        <v/>
      </c>
    </row>
    <row r="696" spans="6:11">
      <c r="F696" t="str">
        <f>IF(B696="Egg Shop","",IF(J696="","",IFERROR(LOOKUP(2,1/(Purchases!$H$3:$H$2002=J696),Purchases!$F$3:$F$2002),"")))</f>
        <v/>
      </c>
      <c r="G696" t="str">
        <f t="shared" si="48"/>
        <v/>
      </c>
      <c r="H696" t="str">
        <f t="shared" si="49"/>
        <v/>
      </c>
      <c r="I696" t="str">
        <f t="shared" si="50"/>
        <v/>
      </c>
      <c r="J696" t="str">
        <f t="shared" si="51"/>
        <v/>
      </c>
      <c r="K696" t="str">
        <f t="shared" si="52"/>
        <v/>
      </c>
    </row>
    <row r="697" spans="6:11">
      <c r="F697" t="str">
        <f>IF(B697="Egg Shop","",IF(J697="","",IFERROR(LOOKUP(2,1/(Purchases!$H$3:$H$2002=J697),Purchases!$F$3:$F$2002),"")))</f>
        <v/>
      </c>
      <c r="G697" t="str">
        <f t="shared" si="48"/>
        <v/>
      </c>
      <c r="H697" t="str">
        <f t="shared" si="49"/>
        <v/>
      </c>
      <c r="I697" t="str">
        <f t="shared" si="50"/>
        <v/>
      </c>
      <c r="J697" t="str">
        <f t="shared" si="51"/>
        <v/>
      </c>
      <c r="K697" t="str">
        <f t="shared" si="52"/>
        <v/>
      </c>
    </row>
    <row r="698" spans="6:11">
      <c r="F698" t="str">
        <f>IF(B698="Egg Shop","",IF(J698="","",IFERROR(LOOKUP(2,1/(Purchases!$H$3:$H$2002=J698),Purchases!$F$3:$F$2002),"")))</f>
        <v/>
      </c>
      <c r="G698" t="str">
        <f t="shared" si="48"/>
        <v/>
      </c>
      <c r="H698" t="str">
        <f t="shared" si="49"/>
        <v/>
      </c>
      <c r="I698" t="str">
        <f t="shared" si="50"/>
        <v/>
      </c>
      <c r="J698" t="str">
        <f t="shared" si="51"/>
        <v/>
      </c>
      <c r="K698" t="str">
        <f t="shared" si="52"/>
        <v/>
      </c>
    </row>
    <row r="699" spans="6:11">
      <c r="F699" t="str">
        <f>IF(B699="Egg Shop","",IF(J699="","",IFERROR(LOOKUP(2,1/(Purchases!$H$3:$H$2002=J699),Purchases!$F$3:$F$2002),"")))</f>
        <v/>
      </c>
      <c r="G699" t="str">
        <f t="shared" si="48"/>
        <v/>
      </c>
      <c r="H699" t="str">
        <f t="shared" si="49"/>
        <v/>
      </c>
      <c r="I699" t="str">
        <f t="shared" si="50"/>
        <v/>
      </c>
      <c r="J699" t="str">
        <f t="shared" si="51"/>
        <v/>
      </c>
      <c r="K699" t="str">
        <f t="shared" si="52"/>
        <v/>
      </c>
    </row>
    <row r="700" spans="6:11">
      <c r="F700" t="str">
        <f>IF(B700="Egg Shop","",IF(J700="","",IFERROR(LOOKUP(2,1/(Purchases!$H$3:$H$2002=J700),Purchases!$F$3:$F$2002),"")))</f>
        <v/>
      </c>
      <c r="G700" t="str">
        <f t="shared" si="48"/>
        <v/>
      </c>
      <c r="H700" t="str">
        <f t="shared" si="49"/>
        <v/>
      </c>
      <c r="I700" t="str">
        <f t="shared" si="50"/>
        <v/>
      </c>
      <c r="J700" t="str">
        <f t="shared" si="51"/>
        <v/>
      </c>
      <c r="K700" t="str">
        <f t="shared" si="52"/>
        <v/>
      </c>
    </row>
    <row r="701" spans="6:11">
      <c r="F701" t="str">
        <f>IF(B701="Egg Shop","",IF(J701="","",IFERROR(LOOKUP(2,1/(Purchases!$H$3:$H$2002=J701),Purchases!$F$3:$F$2002),"")))</f>
        <v/>
      </c>
      <c r="G701" t="str">
        <f t="shared" si="48"/>
        <v/>
      </c>
      <c r="H701" t="str">
        <f t="shared" si="49"/>
        <v/>
      </c>
      <c r="I701" t="str">
        <f t="shared" si="50"/>
        <v/>
      </c>
      <c r="J701" t="str">
        <f t="shared" si="51"/>
        <v/>
      </c>
      <c r="K701" t="str">
        <f t="shared" si="52"/>
        <v/>
      </c>
    </row>
    <row r="702" spans="6:11">
      <c r="F702" t="str">
        <f>IF(B702="Egg Shop","",IF(J702="","",IFERROR(LOOKUP(2,1/(Purchases!$H$3:$H$2002=J702),Purchases!$F$3:$F$2002),"")))</f>
        <v/>
      </c>
      <c r="G702" t="str">
        <f t="shared" si="48"/>
        <v/>
      </c>
      <c r="H702" t="str">
        <f t="shared" si="49"/>
        <v/>
      </c>
      <c r="I702" t="str">
        <f t="shared" si="50"/>
        <v/>
      </c>
      <c r="J702" t="str">
        <f t="shared" si="51"/>
        <v/>
      </c>
      <c r="K702" t="str">
        <f t="shared" si="52"/>
        <v/>
      </c>
    </row>
    <row r="703" spans="6:11">
      <c r="F703" t="str">
        <f>IF(B703="Egg Shop","",IF(J703="","",IFERROR(LOOKUP(2,1/(Purchases!$H$3:$H$2002=J703),Purchases!$F$3:$F$2002),"")))</f>
        <v/>
      </c>
      <c r="G703" t="str">
        <f t="shared" si="48"/>
        <v/>
      </c>
      <c r="H703" t="str">
        <f t="shared" si="49"/>
        <v/>
      </c>
      <c r="I703" t="str">
        <f t="shared" si="50"/>
        <v/>
      </c>
      <c r="J703" t="str">
        <f t="shared" si="51"/>
        <v/>
      </c>
      <c r="K703" t="str">
        <f t="shared" si="52"/>
        <v/>
      </c>
    </row>
    <row r="704" spans="6:11">
      <c r="F704" t="str">
        <f>IF(B704="Egg Shop","",IF(J704="","",IFERROR(LOOKUP(2,1/(Purchases!$H$3:$H$2002=J704),Purchases!$F$3:$F$2002),"")))</f>
        <v/>
      </c>
      <c r="G704" t="str">
        <f t="shared" si="48"/>
        <v/>
      </c>
      <c r="H704" t="str">
        <f t="shared" si="49"/>
        <v/>
      </c>
      <c r="I704" t="str">
        <f t="shared" si="50"/>
        <v/>
      </c>
      <c r="J704" t="str">
        <f t="shared" si="51"/>
        <v/>
      </c>
      <c r="K704" t="str">
        <f t="shared" si="52"/>
        <v/>
      </c>
    </row>
    <row r="705" spans="6:11">
      <c r="F705" t="str">
        <f>IF(B705="Egg Shop","",IF(J705="","",IFERROR(LOOKUP(2,1/(Purchases!$H$3:$H$2002=J705),Purchases!$F$3:$F$2002),"")))</f>
        <v/>
      </c>
      <c r="G705" t="str">
        <f t="shared" si="48"/>
        <v/>
      </c>
      <c r="H705" t="str">
        <f t="shared" si="49"/>
        <v/>
      </c>
      <c r="I705" t="str">
        <f t="shared" si="50"/>
        <v/>
      </c>
      <c r="J705" t="str">
        <f t="shared" si="51"/>
        <v/>
      </c>
      <c r="K705" t="str">
        <f t="shared" si="52"/>
        <v/>
      </c>
    </row>
    <row r="706" spans="6:11">
      <c r="F706" t="str">
        <f>IF(B706="Egg Shop","",IF(J706="","",IFERROR(LOOKUP(2,1/(Purchases!$H$3:$H$2002=J706),Purchases!$F$3:$F$2002),"")))</f>
        <v/>
      </c>
      <c r="G706" t="str">
        <f t="shared" si="48"/>
        <v/>
      </c>
      <c r="H706" t="str">
        <f t="shared" si="49"/>
        <v/>
      </c>
      <c r="I706" t="str">
        <f t="shared" si="50"/>
        <v/>
      </c>
      <c r="J706" t="str">
        <f t="shared" si="51"/>
        <v/>
      </c>
      <c r="K706" t="str">
        <f t="shared" si="52"/>
        <v/>
      </c>
    </row>
    <row r="707" spans="6:11">
      <c r="F707" t="str">
        <f>IF(B707="Egg Shop","",IF(J707="","",IFERROR(LOOKUP(2,1/(Purchases!$H$3:$H$2002=J707),Purchases!$F$3:$F$2002),"")))</f>
        <v/>
      </c>
      <c r="G707" t="str">
        <f t="shared" ref="G707:G770" si="53">IF(OR(D707="",E707=""),"",D707*E707)</f>
        <v/>
      </c>
      <c r="H707" t="str">
        <f t="shared" ref="H707:H770" si="54">IF(OR(D707="",F707=""),"",D707*F707)</f>
        <v/>
      </c>
      <c r="I707" t="str">
        <f t="shared" ref="I707:I770" si="55">IF(OR(G707="",H707=""),"",G707-H707)</f>
        <v/>
      </c>
      <c r="J707" t="str">
        <f t="shared" ref="J707:J770" si="56">IF(OR(B707="",C707=""),"",B707&amp;"|"&amp;C707)</f>
        <v/>
      </c>
      <c r="K707" t="str">
        <f t="shared" si="52"/>
        <v/>
      </c>
    </row>
    <row r="708" spans="6:11">
      <c r="F708" t="str">
        <f>IF(B708="Egg Shop","",IF(J708="","",IFERROR(LOOKUP(2,1/(Purchases!$H$3:$H$2002=J708),Purchases!$F$3:$F$2002),"")))</f>
        <v/>
      </c>
      <c r="G708" t="str">
        <f t="shared" si="53"/>
        <v/>
      </c>
      <c r="H708" t="str">
        <f t="shared" si="54"/>
        <v/>
      </c>
      <c r="I708" t="str">
        <f t="shared" si="55"/>
        <v/>
      </c>
      <c r="J708" t="str">
        <f t="shared" si="56"/>
        <v/>
      </c>
      <c r="K708" t="str">
        <f t="shared" si="52"/>
        <v/>
      </c>
    </row>
    <row r="709" spans="6:11">
      <c r="F709" t="str">
        <f>IF(B709="Egg Shop","",IF(J709="","",IFERROR(LOOKUP(2,1/(Purchases!$H$3:$H$2002=J709),Purchases!$F$3:$F$2002),"")))</f>
        <v/>
      </c>
      <c r="G709" t="str">
        <f t="shared" si="53"/>
        <v/>
      </c>
      <c r="H709" t="str">
        <f t="shared" si="54"/>
        <v/>
      </c>
      <c r="I709" t="str">
        <f t="shared" si="55"/>
        <v/>
      </c>
      <c r="J709" t="str">
        <f t="shared" si="56"/>
        <v/>
      </c>
      <c r="K709" t="str">
        <f t="shared" si="52"/>
        <v/>
      </c>
    </row>
    <row r="710" spans="6:11">
      <c r="F710" t="str">
        <f>IF(B710="Egg Shop","",IF(J710="","",IFERROR(LOOKUP(2,1/(Purchases!$H$3:$H$2002=J710),Purchases!$F$3:$F$2002),"")))</f>
        <v/>
      </c>
      <c r="G710" t="str">
        <f t="shared" si="53"/>
        <v/>
      </c>
      <c r="H710" t="str">
        <f t="shared" si="54"/>
        <v/>
      </c>
      <c r="I710" t="str">
        <f t="shared" si="55"/>
        <v/>
      </c>
      <c r="J710" t="str">
        <f t="shared" si="56"/>
        <v/>
      </c>
      <c r="K710" t="str">
        <f t="shared" si="52"/>
        <v/>
      </c>
    </row>
    <row r="711" spans="6:11">
      <c r="F711" t="str">
        <f>IF(B711="Egg Shop","",IF(J711="","",IFERROR(LOOKUP(2,1/(Purchases!$H$3:$H$2002=J711),Purchases!$F$3:$F$2002),"")))</f>
        <v/>
      </c>
      <c r="G711" t="str">
        <f t="shared" si="53"/>
        <v/>
      </c>
      <c r="H711" t="str">
        <f t="shared" si="54"/>
        <v/>
      </c>
      <c r="I711" t="str">
        <f t="shared" si="55"/>
        <v/>
      </c>
      <c r="J711" t="str">
        <f t="shared" si="56"/>
        <v/>
      </c>
      <c r="K711" t="str">
        <f t="shared" si="52"/>
        <v/>
      </c>
    </row>
    <row r="712" spans="6:11">
      <c r="F712" t="str">
        <f>IF(B712="Egg Shop","",IF(J712="","",IFERROR(LOOKUP(2,1/(Purchases!$H$3:$H$2002=J712),Purchases!$F$3:$F$2002),"")))</f>
        <v/>
      </c>
      <c r="G712" t="str">
        <f t="shared" si="53"/>
        <v/>
      </c>
      <c r="H712" t="str">
        <f t="shared" si="54"/>
        <v/>
      </c>
      <c r="I712" t="str">
        <f t="shared" si="55"/>
        <v/>
      </c>
      <c r="J712" t="str">
        <f t="shared" si="56"/>
        <v/>
      </c>
      <c r="K712" t="str">
        <f t="shared" si="52"/>
        <v/>
      </c>
    </row>
    <row r="713" spans="6:11">
      <c r="F713" t="str">
        <f>IF(B713="Egg Shop","",IF(J713="","",IFERROR(LOOKUP(2,1/(Purchases!$H$3:$H$2002=J713),Purchases!$F$3:$F$2002),"")))</f>
        <v/>
      </c>
      <c r="G713" t="str">
        <f t="shared" si="53"/>
        <v/>
      </c>
      <c r="H713" t="str">
        <f t="shared" si="54"/>
        <v/>
      </c>
      <c r="I713" t="str">
        <f t="shared" si="55"/>
        <v/>
      </c>
      <c r="J713" t="str">
        <f t="shared" si="56"/>
        <v/>
      </c>
      <c r="K713" t="str">
        <f t="shared" si="52"/>
        <v/>
      </c>
    </row>
    <row r="714" spans="6:11">
      <c r="F714" t="str">
        <f>IF(B714="Egg Shop","",IF(J714="","",IFERROR(LOOKUP(2,1/(Purchases!$H$3:$H$2002=J714),Purchases!$F$3:$F$2002),"")))</f>
        <v/>
      </c>
      <c r="G714" t="str">
        <f t="shared" si="53"/>
        <v/>
      </c>
      <c r="H714" t="str">
        <f t="shared" si="54"/>
        <v/>
      </c>
      <c r="I714" t="str">
        <f t="shared" si="55"/>
        <v/>
      </c>
      <c r="J714" t="str">
        <f t="shared" si="56"/>
        <v/>
      </c>
      <c r="K714" t="str">
        <f t="shared" si="52"/>
        <v/>
      </c>
    </row>
    <row r="715" spans="6:11">
      <c r="F715" t="str">
        <f>IF(B715="Egg Shop","",IF(J715="","",IFERROR(LOOKUP(2,1/(Purchases!$H$3:$H$2002=J715),Purchases!$F$3:$F$2002),"")))</f>
        <v/>
      </c>
      <c r="G715" t="str">
        <f t="shared" si="53"/>
        <v/>
      </c>
      <c r="H715" t="str">
        <f t="shared" si="54"/>
        <v/>
      </c>
      <c r="I715" t="str">
        <f t="shared" si="55"/>
        <v/>
      </c>
      <c r="J715" t="str">
        <f t="shared" si="56"/>
        <v/>
      </c>
      <c r="K715" t="str">
        <f t="shared" si="52"/>
        <v/>
      </c>
    </row>
    <row r="716" spans="6:11">
      <c r="F716" t="str">
        <f>IF(B716="Egg Shop","",IF(J716="","",IFERROR(LOOKUP(2,1/(Purchases!$H$3:$H$2002=J716),Purchases!$F$3:$F$2002),"")))</f>
        <v/>
      </c>
      <c r="G716" t="str">
        <f t="shared" si="53"/>
        <v/>
      </c>
      <c r="H716" t="str">
        <f t="shared" si="54"/>
        <v/>
      </c>
      <c r="I716" t="str">
        <f t="shared" si="55"/>
        <v/>
      </c>
      <c r="J716" t="str">
        <f t="shared" si="56"/>
        <v/>
      </c>
      <c r="K716" t="str">
        <f t="shared" si="52"/>
        <v/>
      </c>
    </row>
    <row r="717" spans="6:11">
      <c r="F717" t="str">
        <f>IF(B717="Egg Shop","",IF(J717="","",IFERROR(LOOKUP(2,1/(Purchases!$H$3:$H$2002=J717),Purchases!$F$3:$F$2002),"")))</f>
        <v/>
      </c>
      <c r="G717" t="str">
        <f t="shared" si="53"/>
        <v/>
      </c>
      <c r="H717" t="str">
        <f t="shared" si="54"/>
        <v/>
      </c>
      <c r="I717" t="str">
        <f t="shared" si="55"/>
        <v/>
      </c>
      <c r="J717" t="str">
        <f t="shared" si="56"/>
        <v/>
      </c>
      <c r="K717" t="str">
        <f t="shared" si="52"/>
        <v/>
      </c>
    </row>
    <row r="718" spans="6:11">
      <c r="F718" t="str">
        <f>IF(B718="Egg Shop","",IF(J718="","",IFERROR(LOOKUP(2,1/(Purchases!$H$3:$H$2002=J718),Purchases!$F$3:$F$2002),"")))</f>
        <v/>
      </c>
      <c r="G718" t="str">
        <f t="shared" si="53"/>
        <v/>
      </c>
      <c r="H718" t="str">
        <f t="shared" si="54"/>
        <v/>
      </c>
      <c r="I718" t="str">
        <f t="shared" si="55"/>
        <v/>
      </c>
      <c r="J718" t="str">
        <f t="shared" si="56"/>
        <v/>
      </c>
      <c r="K718" t="str">
        <f t="shared" si="52"/>
        <v/>
      </c>
    </row>
    <row r="719" spans="6:11">
      <c r="F719" t="str">
        <f>IF(B719="Egg Shop","",IF(J719="","",IFERROR(LOOKUP(2,1/(Purchases!$H$3:$H$2002=J719),Purchases!$F$3:$F$2002),"")))</f>
        <v/>
      </c>
      <c r="G719" t="str">
        <f t="shared" si="53"/>
        <v/>
      </c>
      <c r="H719" t="str">
        <f t="shared" si="54"/>
        <v/>
      </c>
      <c r="I719" t="str">
        <f t="shared" si="55"/>
        <v/>
      </c>
      <c r="J719" t="str">
        <f t="shared" si="56"/>
        <v/>
      </c>
      <c r="K719" t="str">
        <f t="shared" si="52"/>
        <v/>
      </c>
    </row>
    <row r="720" spans="6:11">
      <c r="F720" t="str">
        <f>IF(B720="Egg Shop","",IF(J720="","",IFERROR(LOOKUP(2,1/(Purchases!$H$3:$H$2002=J720),Purchases!$F$3:$F$2002),"")))</f>
        <v/>
      </c>
      <c r="G720" t="str">
        <f t="shared" si="53"/>
        <v/>
      </c>
      <c r="H720" t="str">
        <f t="shared" si="54"/>
        <v/>
      </c>
      <c r="I720" t="str">
        <f t="shared" si="55"/>
        <v/>
      </c>
      <c r="J720" t="str">
        <f t="shared" si="56"/>
        <v/>
      </c>
      <c r="K720" t="str">
        <f t="shared" si="52"/>
        <v/>
      </c>
    </row>
    <row r="721" spans="6:11">
      <c r="F721" t="str">
        <f>IF(B721="Egg Shop","",IF(J721="","",IFERROR(LOOKUP(2,1/(Purchases!$H$3:$H$2002=J721),Purchases!$F$3:$F$2002),"")))</f>
        <v/>
      </c>
      <c r="G721" t="str">
        <f t="shared" si="53"/>
        <v/>
      </c>
      <c r="H721" t="str">
        <f t="shared" si="54"/>
        <v/>
      </c>
      <c r="I721" t="str">
        <f t="shared" si="55"/>
        <v/>
      </c>
      <c r="J721" t="str">
        <f t="shared" si="56"/>
        <v/>
      </c>
      <c r="K721" t="str">
        <f t="shared" si="52"/>
        <v/>
      </c>
    </row>
    <row r="722" spans="6:11">
      <c r="F722" t="str">
        <f>IF(B722="Egg Shop","",IF(J722="","",IFERROR(LOOKUP(2,1/(Purchases!$H$3:$H$2002=J722),Purchases!$F$3:$F$2002),"")))</f>
        <v/>
      </c>
      <c r="G722" t="str">
        <f t="shared" si="53"/>
        <v/>
      </c>
      <c r="H722" t="str">
        <f t="shared" si="54"/>
        <v/>
      </c>
      <c r="I722" t="str">
        <f t="shared" si="55"/>
        <v/>
      </c>
      <c r="J722" t="str">
        <f t="shared" si="56"/>
        <v/>
      </c>
      <c r="K722" t="str">
        <f t="shared" ref="K722:K785" si="57">IF(A722&lt;&gt;"","Cash","")</f>
        <v/>
      </c>
    </row>
    <row r="723" spans="6:11">
      <c r="F723" t="str">
        <f>IF(B723="Egg Shop","",IF(J723="","",IFERROR(LOOKUP(2,1/(Purchases!$H$3:$H$2002=J723),Purchases!$F$3:$F$2002),"")))</f>
        <v/>
      </c>
      <c r="G723" t="str">
        <f t="shared" si="53"/>
        <v/>
      </c>
      <c r="H723" t="str">
        <f t="shared" si="54"/>
        <v/>
      </c>
      <c r="I723" t="str">
        <f t="shared" si="55"/>
        <v/>
      </c>
      <c r="J723" t="str">
        <f t="shared" si="56"/>
        <v/>
      </c>
      <c r="K723" t="str">
        <f t="shared" si="57"/>
        <v/>
      </c>
    </row>
    <row r="724" spans="6:11">
      <c r="F724" t="str">
        <f>IF(B724="Egg Shop","",IF(J724="","",IFERROR(LOOKUP(2,1/(Purchases!$H$3:$H$2002=J724),Purchases!$F$3:$F$2002),"")))</f>
        <v/>
      </c>
      <c r="G724" t="str">
        <f t="shared" si="53"/>
        <v/>
      </c>
      <c r="H724" t="str">
        <f t="shared" si="54"/>
        <v/>
      </c>
      <c r="I724" t="str">
        <f t="shared" si="55"/>
        <v/>
      </c>
      <c r="J724" t="str">
        <f t="shared" si="56"/>
        <v/>
      </c>
      <c r="K724" t="str">
        <f t="shared" si="57"/>
        <v/>
      </c>
    </row>
    <row r="725" spans="6:11">
      <c r="F725" t="str">
        <f>IF(B725="Egg Shop","",IF(J725="","",IFERROR(LOOKUP(2,1/(Purchases!$H$3:$H$2002=J725),Purchases!$F$3:$F$2002),"")))</f>
        <v/>
      </c>
      <c r="G725" t="str">
        <f t="shared" si="53"/>
        <v/>
      </c>
      <c r="H725" t="str">
        <f t="shared" si="54"/>
        <v/>
      </c>
      <c r="I725" t="str">
        <f t="shared" si="55"/>
        <v/>
      </c>
      <c r="J725" t="str">
        <f t="shared" si="56"/>
        <v/>
      </c>
      <c r="K725" t="str">
        <f t="shared" si="57"/>
        <v/>
      </c>
    </row>
    <row r="726" spans="6:11">
      <c r="F726" t="str">
        <f>IF(B726="Egg Shop","",IF(J726="","",IFERROR(LOOKUP(2,1/(Purchases!$H$3:$H$2002=J726),Purchases!$F$3:$F$2002),"")))</f>
        <v/>
      </c>
      <c r="G726" t="str">
        <f t="shared" si="53"/>
        <v/>
      </c>
      <c r="H726" t="str">
        <f t="shared" si="54"/>
        <v/>
      </c>
      <c r="I726" t="str">
        <f t="shared" si="55"/>
        <v/>
      </c>
      <c r="J726" t="str">
        <f t="shared" si="56"/>
        <v/>
      </c>
      <c r="K726" t="str">
        <f t="shared" si="57"/>
        <v/>
      </c>
    </row>
    <row r="727" spans="6:11">
      <c r="F727" t="str">
        <f>IF(B727="Egg Shop","",IF(J727="","",IFERROR(LOOKUP(2,1/(Purchases!$H$3:$H$2002=J727),Purchases!$F$3:$F$2002),"")))</f>
        <v/>
      </c>
      <c r="G727" t="str">
        <f t="shared" si="53"/>
        <v/>
      </c>
      <c r="H727" t="str">
        <f t="shared" si="54"/>
        <v/>
      </c>
      <c r="I727" t="str">
        <f t="shared" si="55"/>
        <v/>
      </c>
      <c r="J727" t="str">
        <f t="shared" si="56"/>
        <v/>
      </c>
      <c r="K727" t="str">
        <f t="shared" si="57"/>
        <v/>
      </c>
    </row>
    <row r="728" spans="6:11">
      <c r="F728" t="str">
        <f>IF(B728="Egg Shop","",IF(J728="","",IFERROR(LOOKUP(2,1/(Purchases!$H$3:$H$2002=J728),Purchases!$F$3:$F$2002),"")))</f>
        <v/>
      </c>
      <c r="G728" t="str">
        <f t="shared" si="53"/>
        <v/>
      </c>
      <c r="H728" t="str">
        <f t="shared" si="54"/>
        <v/>
      </c>
      <c r="I728" t="str">
        <f t="shared" si="55"/>
        <v/>
      </c>
      <c r="J728" t="str">
        <f t="shared" si="56"/>
        <v/>
      </c>
      <c r="K728" t="str">
        <f t="shared" si="57"/>
        <v/>
      </c>
    </row>
    <row r="729" spans="6:11">
      <c r="F729" t="str">
        <f>IF(B729="Egg Shop","",IF(J729="","",IFERROR(LOOKUP(2,1/(Purchases!$H$3:$H$2002=J729),Purchases!$F$3:$F$2002),"")))</f>
        <v/>
      </c>
      <c r="G729" t="str">
        <f t="shared" si="53"/>
        <v/>
      </c>
      <c r="H729" t="str">
        <f t="shared" si="54"/>
        <v/>
      </c>
      <c r="I729" t="str">
        <f t="shared" si="55"/>
        <v/>
      </c>
      <c r="J729" t="str">
        <f t="shared" si="56"/>
        <v/>
      </c>
      <c r="K729" t="str">
        <f t="shared" si="57"/>
        <v/>
      </c>
    </row>
    <row r="730" spans="6:11">
      <c r="F730" t="str">
        <f>IF(B730="Egg Shop","",IF(J730="","",IFERROR(LOOKUP(2,1/(Purchases!$H$3:$H$2002=J730),Purchases!$F$3:$F$2002),"")))</f>
        <v/>
      </c>
      <c r="G730" t="str">
        <f t="shared" si="53"/>
        <v/>
      </c>
      <c r="H730" t="str">
        <f t="shared" si="54"/>
        <v/>
      </c>
      <c r="I730" t="str">
        <f t="shared" si="55"/>
        <v/>
      </c>
      <c r="J730" t="str">
        <f t="shared" si="56"/>
        <v/>
      </c>
      <c r="K730" t="str">
        <f t="shared" si="57"/>
        <v/>
      </c>
    </row>
    <row r="731" spans="6:11">
      <c r="F731" t="str">
        <f>IF(B731="Egg Shop","",IF(J731="","",IFERROR(LOOKUP(2,1/(Purchases!$H$3:$H$2002=J731),Purchases!$F$3:$F$2002),"")))</f>
        <v/>
      </c>
      <c r="G731" t="str">
        <f t="shared" si="53"/>
        <v/>
      </c>
      <c r="H731" t="str">
        <f t="shared" si="54"/>
        <v/>
      </c>
      <c r="I731" t="str">
        <f t="shared" si="55"/>
        <v/>
      </c>
      <c r="J731" t="str">
        <f t="shared" si="56"/>
        <v/>
      </c>
      <c r="K731" t="str">
        <f t="shared" si="57"/>
        <v/>
      </c>
    </row>
    <row r="732" spans="6:11">
      <c r="F732" t="str">
        <f>IF(B732="Egg Shop","",IF(J732="","",IFERROR(LOOKUP(2,1/(Purchases!$H$3:$H$2002=J732),Purchases!$F$3:$F$2002),"")))</f>
        <v/>
      </c>
      <c r="G732" t="str">
        <f t="shared" si="53"/>
        <v/>
      </c>
      <c r="H732" t="str">
        <f t="shared" si="54"/>
        <v/>
      </c>
      <c r="I732" t="str">
        <f t="shared" si="55"/>
        <v/>
      </c>
      <c r="J732" t="str">
        <f t="shared" si="56"/>
        <v/>
      </c>
      <c r="K732" t="str">
        <f t="shared" si="57"/>
        <v/>
      </c>
    </row>
    <row r="733" spans="6:11">
      <c r="F733" t="str">
        <f>IF(B733="Egg Shop","",IF(J733="","",IFERROR(LOOKUP(2,1/(Purchases!$H$3:$H$2002=J733),Purchases!$F$3:$F$2002),"")))</f>
        <v/>
      </c>
      <c r="G733" t="str">
        <f t="shared" si="53"/>
        <v/>
      </c>
      <c r="H733" t="str">
        <f t="shared" si="54"/>
        <v/>
      </c>
      <c r="I733" t="str">
        <f t="shared" si="55"/>
        <v/>
      </c>
      <c r="J733" t="str">
        <f t="shared" si="56"/>
        <v/>
      </c>
      <c r="K733" t="str">
        <f t="shared" si="57"/>
        <v/>
      </c>
    </row>
    <row r="734" spans="6:11">
      <c r="F734" t="str">
        <f>IF(B734="Egg Shop","",IF(J734="","",IFERROR(LOOKUP(2,1/(Purchases!$H$3:$H$2002=J734),Purchases!$F$3:$F$2002),"")))</f>
        <v/>
      </c>
      <c r="G734" t="str">
        <f t="shared" si="53"/>
        <v/>
      </c>
      <c r="H734" t="str">
        <f t="shared" si="54"/>
        <v/>
      </c>
      <c r="I734" t="str">
        <f t="shared" si="55"/>
        <v/>
      </c>
      <c r="J734" t="str">
        <f t="shared" si="56"/>
        <v/>
      </c>
      <c r="K734" t="str">
        <f t="shared" si="57"/>
        <v/>
      </c>
    </row>
    <row r="735" spans="6:11">
      <c r="F735" t="str">
        <f>IF(B735="Egg Shop","",IF(J735="","",IFERROR(LOOKUP(2,1/(Purchases!$H$3:$H$2002=J735),Purchases!$F$3:$F$2002),"")))</f>
        <v/>
      </c>
      <c r="G735" t="str">
        <f t="shared" si="53"/>
        <v/>
      </c>
      <c r="H735" t="str">
        <f t="shared" si="54"/>
        <v/>
      </c>
      <c r="I735" t="str">
        <f t="shared" si="55"/>
        <v/>
      </c>
      <c r="J735" t="str">
        <f t="shared" si="56"/>
        <v/>
      </c>
      <c r="K735" t="str">
        <f t="shared" si="57"/>
        <v/>
      </c>
    </row>
    <row r="736" spans="6:11">
      <c r="F736" t="str">
        <f>IF(B736="Egg Shop","",IF(J736="","",IFERROR(LOOKUP(2,1/(Purchases!$H$3:$H$2002=J736),Purchases!$F$3:$F$2002),"")))</f>
        <v/>
      </c>
      <c r="G736" t="str">
        <f t="shared" si="53"/>
        <v/>
      </c>
      <c r="H736" t="str">
        <f t="shared" si="54"/>
        <v/>
      </c>
      <c r="I736" t="str">
        <f t="shared" si="55"/>
        <v/>
      </c>
      <c r="J736" t="str">
        <f t="shared" si="56"/>
        <v/>
      </c>
      <c r="K736" t="str">
        <f t="shared" si="57"/>
        <v/>
      </c>
    </row>
    <row r="737" spans="6:11">
      <c r="F737" t="str">
        <f>IF(B737="Egg Shop","",IF(J737="","",IFERROR(LOOKUP(2,1/(Purchases!$H$3:$H$2002=J737),Purchases!$F$3:$F$2002),"")))</f>
        <v/>
      </c>
      <c r="G737" t="str">
        <f t="shared" si="53"/>
        <v/>
      </c>
      <c r="H737" t="str">
        <f t="shared" si="54"/>
        <v/>
      </c>
      <c r="I737" t="str">
        <f t="shared" si="55"/>
        <v/>
      </c>
      <c r="J737" t="str">
        <f t="shared" si="56"/>
        <v/>
      </c>
      <c r="K737" t="str">
        <f t="shared" si="57"/>
        <v/>
      </c>
    </row>
    <row r="738" spans="6:11">
      <c r="F738" t="str">
        <f>IF(B738="Egg Shop","",IF(J738="","",IFERROR(LOOKUP(2,1/(Purchases!$H$3:$H$2002=J738),Purchases!$F$3:$F$2002),"")))</f>
        <v/>
      </c>
      <c r="G738" t="str">
        <f t="shared" si="53"/>
        <v/>
      </c>
      <c r="H738" t="str">
        <f t="shared" si="54"/>
        <v/>
      </c>
      <c r="I738" t="str">
        <f t="shared" si="55"/>
        <v/>
      </c>
      <c r="J738" t="str">
        <f t="shared" si="56"/>
        <v/>
      </c>
      <c r="K738" t="str">
        <f t="shared" si="57"/>
        <v/>
      </c>
    </row>
    <row r="739" spans="6:11">
      <c r="F739" t="str">
        <f>IF(B739="Egg Shop","",IF(J739="","",IFERROR(LOOKUP(2,1/(Purchases!$H$3:$H$2002=J739),Purchases!$F$3:$F$2002),"")))</f>
        <v/>
      </c>
      <c r="G739" t="str">
        <f t="shared" si="53"/>
        <v/>
      </c>
      <c r="H739" t="str">
        <f t="shared" si="54"/>
        <v/>
      </c>
      <c r="I739" t="str">
        <f t="shared" si="55"/>
        <v/>
      </c>
      <c r="J739" t="str">
        <f t="shared" si="56"/>
        <v/>
      </c>
      <c r="K739" t="str">
        <f t="shared" si="57"/>
        <v/>
      </c>
    </row>
    <row r="740" spans="6:11">
      <c r="F740" t="str">
        <f>IF(B740="Egg Shop","",IF(J740="","",IFERROR(LOOKUP(2,1/(Purchases!$H$3:$H$2002=J740),Purchases!$F$3:$F$2002),"")))</f>
        <v/>
      </c>
      <c r="G740" t="str">
        <f t="shared" si="53"/>
        <v/>
      </c>
      <c r="H740" t="str">
        <f t="shared" si="54"/>
        <v/>
      </c>
      <c r="I740" t="str">
        <f t="shared" si="55"/>
        <v/>
      </c>
      <c r="J740" t="str">
        <f t="shared" si="56"/>
        <v/>
      </c>
      <c r="K740" t="str">
        <f t="shared" si="57"/>
        <v/>
      </c>
    </row>
    <row r="741" spans="6:11">
      <c r="F741" t="str">
        <f>IF(B741="Egg Shop","",IF(J741="","",IFERROR(LOOKUP(2,1/(Purchases!$H$3:$H$2002=J741),Purchases!$F$3:$F$2002),"")))</f>
        <v/>
      </c>
      <c r="G741" t="str">
        <f t="shared" si="53"/>
        <v/>
      </c>
      <c r="H741" t="str">
        <f t="shared" si="54"/>
        <v/>
      </c>
      <c r="I741" t="str">
        <f t="shared" si="55"/>
        <v/>
      </c>
      <c r="J741" t="str">
        <f t="shared" si="56"/>
        <v/>
      </c>
      <c r="K741" t="str">
        <f t="shared" si="57"/>
        <v/>
      </c>
    </row>
    <row r="742" spans="6:11">
      <c r="F742" t="str">
        <f>IF(B742="Egg Shop","",IF(J742="","",IFERROR(LOOKUP(2,1/(Purchases!$H$3:$H$2002=J742),Purchases!$F$3:$F$2002),"")))</f>
        <v/>
      </c>
      <c r="G742" t="str">
        <f t="shared" si="53"/>
        <v/>
      </c>
      <c r="H742" t="str">
        <f t="shared" si="54"/>
        <v/>
      </c>
      <c r="I742" t="str">
        <f t="shared" si="55"/>
        <v/>
      </c>
      <c r="J742" t="str">
        <f t="shared" si="56"/>
        <v/>
      </c>
      <c r="K742" t="str">
        <f t="shared" si="57"/>
        <v/>
      </c>
    </row>
    <row r="743" spans="6:11">
      <c r="F743" t="str">
        <f>IF(B743="Egg Shop","",IF(J743="","",IFERROR(LOOKUP(2,1/(Purchases!$H$3:$H$2002=J743),Purchases!$F$3:$F$2002),"")))</f>
        <v/>
      </c>
      <c r="G743" t="str">
        <f t="shared" si="53"/>
        <v/>
      </c>
      <c r="H743" t="str">
        <f t="shared" si="54"/>
        <v/>
      </c>
      <c r="I743" t="str">
        <f t="shared" si="55"/>
        <v/>
      </c>
      <c r="J743" t="str">
        <f t="shared" si="56"/>
        <v/>
      </c>
      <c r="K743" t="str">
        <f t="shared" si="57"/>
        <v/>
      </c>
    </row>
    <row r="744" spans="6:11">
      <c r="F744" t="str">
        <f>IF(B744="Egg Shop","",IF(J744="","",IFERROR(LOOKUP(2,1/(Purchases!$H$3:$H$2002=J744),Purchases!$F$3:$F$2002),"")))</f>
        <v/>
      </c>
      <c r="G744" t="str">
        <f t="shared" si="53"/>
        <v/>
      </c>
      <c r="H744" t="str">
        <f t="shared" si="54"/>
        <v/>
      </c>
      <c r="I744" t="str">
        <f t="shared" si="55"/>
        <v/>
      </c>
      <c r="J744" t="str">
        <f t="shared" si="56"/>
        <v/>
      </c>
      <c r="K744" t="str">
        <f t="shared" si="57"/>
        <v/>
      </c>
    </row>
    <row r="745" spans="6:11">
      <c r="F745" t="str">
        <f>IF(B745="Egg Shop","",IF(J745="","",IFERROR(LOOKUP(2,1/(Purchases!$H$3:$H$2002=J745),Purchases!$F$3:$F$2002),"")))</f>
        <v/>
      </c>
      <c r="G745" t="str">
        <f t="shared" si="53"/>
        <v/>
      </c>
      <c r="H745" t="str">
        <f t="shared" si="54"/>
        <v/>
      </c>
      <c r="I745" t="str">
        <f t="shared" si="55"/>
        <v/>
      </c>
      <c r="J745" t="str">
        <f t="shared" si="56"/>
        <v/>
      </c>
      <c r="K745" t="str">
        <f t="shared" si="57"/>
        <v/>
      </c>
    </row>
    <row r="746" spans="6:11">
      <c r="F746" t="str">
        <f>IF(B746="Egg Shop","",IF(J746="","",IFERROR(LOOKUP(2,1/(Purchases!$H$3:$H$2002=J746),Purchases!$F$3:$F$2002),"")))</f>
        <v/>
      </c>
      <c r="G746" t="str">
        <f t="shared" si="53"/>
        <v/>
      </c>
      <c r="H746" t="str">
        <f t="shared" si="54"/>
        <v/>
      </c>
      <c r="I746" t="str">
        <f t="shared" si="55"/>
        <v/>
      </c>
      <c r="J746" t="str">
        <f t="shared" si="56"/>
        <v/>
      </c>
      <c r="K746" t="str">
        <f t="shared" si="57"/>
        <v/>
      </c>
    </row>
    <row r="747" spans="6:11">
      <c r="F747" t="str">
        <f>IF(B747="Egg Shop","",IF(J747="","",IFERROR(LOOKUP(2,1/(Purchases!$H$3:$H$2002=J747),Purchases!$F$3:$F$2002),"")))</f>
        <v/>
      </c>
      <c r="G747" t="str">
        <f t="shared" si="53"/>
        <v/>
      </c>
      <c r="H747" t="str">
        <f t="shared" si="54"/>
        <v/>
      </c>
      <c r="I747" t="str">
        <f t="shared" si="55"/>
        <v/>
      </c>
      <c r="J747" t="str">
        <f t="shared" si="56"/>
        <v/>
      </c>
      <c r="K747" t="str">
        <f t="shared" si="57"/>
        <v/>
      </c>
    </row>
    <row r="748" spans="6:11">
      <c r="F748" t="str">
        <f>IF(B748="Egg Shop","",IF(J748="","",IFERROR(LOOKUP(2,1/(Purchases!$H$3:$H$2002=J748),Purchases!$F$3:$F$2002),"")))</f>
        <v/>
      </c>
      <c r="G748" t="str">
        <f t="shared" si="53"/>
        <v/>
      </c>
      <c r="H748" t="str">
        <f t="shared" si="54"/>
        <v/>
      </c>
      <c r="I748" t="str">
        <f t="shared" si="55"/>
        <v/>
      </c>
      <c r="J748" t="str">
        <f t="shared" si="56"/>
        <v/>
      </c>
      <c r="K748" t="str">
        <f t="shared" si="57"/>
        <v/>
      </c>
    </row>
    <row r="749" spans="6:11">
      <c r="F749" t="str">
        <f>IF(B749="Egg Shop","",IF(J749="","",IFERROR(LOOKUP(2,1/(Purchases!$H$3:$H$2002=J749),Purchases!$F$3:$F$2002),"")))</f>
        <v/>
      </c>
      <c r="G749" t="str">
        <f t="shared" si="53"/>
        <v/>
      </c>
      <c r="H749" t="str">
        <f t="shared" si="54"/>
        <v/>
      </c>
      <c r="I749" t="str">
        <f t="shared" si="55"/>
        <v/>
      </c>
      <c r="J749" t="str">
        <f t="shared" si="56"/>
        <v/>
      </c>
      <c r="K749" t="str">
        <f t="shared" si="57"/>
        <v/>
      </c>
    </row>
    <row r="750" spans="6:11">
      <c r="F750" t="str">
        <f>IF(B750="Egg Shop","",IF(J750="","",IFERROR(LOOKUP(2,1/(Purchases!$H$3:$H$2002=J750),Purchases!$F$3:$F$2002),"")))</f>
        <v/>
      </c>
      <c r="G750" t="str">
        <f t="shared" si="53"/>
        <v/>
      </c>
      <c r="H750" t="str">
        <f t="shared" si="54"/>
        <v/>
      </c>
      <c r="I750" t="str">
        <f t="shared" si="55"/>
        <v/>
      </c>
      <c r="J750" t="str">
        <f t="shared" si="56"/>
        <v/>
      </c>
      <c r="K750" t="str">
        <f t="shared" si="57"/>
        <v/>
      </c>
    </row>
    <row r="751" spans="6:11">
      <c r="F751" t="str">
        <f>IF(B751="Egg Shop","",IF(J751="","",IFERROR(LOOKUP(2,1/(Purchases!$H$3:$H$2002=J751),Purchases!$F$3:$F$2002),"")))</f>
        <v/>
      </c>
      <c r="G751" t="str">
        <f t="shared" si="53"/>
        <v/>
      </c>
      <c r="H751" t="str">
        <f t="shared" si="54"/>
        <v/>
      </c>
      <c r="I751" t="str">
        <f t="shared" si="55"/>
        <v/>
      </c>
      <c r="J751" t="str">
        <f t="shared" si="56"/>
        <v/>
      </c>
      <c r="K751" t="str">
        <f t="shared" si="57"/>
        <v/>
      </c>
    </row>
    <row r="752" spans="6:11">
      <c r="F752" t="str">
        <f>IF(B752="Egg Shop","",IF(J752="","",IFERROR(LOOKUP(2,1/(Purchases!$H$3:$H$2002=J752),Purchases!$F$3:$F$2002),"")))</f>
        <v/>
      </c>
      <c r="G752" t="str">
        <f t="shared" si="53"/>
        <v/>
      </c>
      <c r="H752" t="str">
        <f t="shared" si="54"/>
        <v/>
      </c>
      <c r="I752" t="str">
        <f t="shared" si="55"/>
        <v/>
      </c>
      <c r="J752" t="str">
        <f t="shared" si="56"/>
        <v/>
      </c>
      <c r="K752" t="str">
        <f t="shared" si="57"/>
        <v/>
      </c>
    </row>
    <row r="753" spans="6:11">
      <c r="F753" t="str">
        <f>IF(B753="Egg Shop","",IF(J753="","",IFERROR(LOOKUP(2,1/(Purchases!$H$3:$H$2002=J753),Purchases!$F$3:$F$2002),"")))</f>
        <v/>
      </c>
      <c r="G753" t="str">
        <f t="shared" si="53"/>
        <v/>
      </c>
      <c r="H753" t="str">
        <f t="shared" si="54"/>
        <v/>
      </c>
      <c r="I753" t="str">
        <f t="shared" si="55"/>
        <v/>
      </c>
      <c r="J753" t="str">
        <f t="shared" si="56"/>
        <v/>
      </c>
      <c r="K753" t="str">
        <f t="shared" si="57"/>
        <v/>
      </c>
    </row>
    <row r="754" spans="6:11">
      <c r="F754" t="str">
        <f>IF(B754="Egg Shop","",IF(J754="","",IFERROR(LOOKUP(2,1/(Purchases!$H$3:$H$2002=J754),Purchases!$F$3:$F$2002),"")))</f>
        <v/>
      </c>
      <c r="G754" t="str">
        <f t="shared" si="53"/>
        <v/>
      </c>
      <c r="H754" t="str">
        <f t="shared" si="54"/>
        <v/>
      </c>
      <c r="I754" t="str">
        <f t="shared" si="55"/>
        <v/>
      </c>
      <c r="J754" t="str">
        <f t="shared" si="56"/>
        <v/>
      </c>
      <c r="K754" t="str">
        <f t="shared" si="57"/>
        <v/>
      </c>
    </row>
    <row r="755" spans="6:11">
      <c r="F755" t="str">
        <f>IF(B755="Egg Shop","",IF(J755="","",IFERROR(LOOKUP(2,1/(Purchases!$H$3:$H$2002=J755),Purchases!$F$3:$F$2002),"")))</f>
        <v/>
      </c>
      <c r="G755" t="str">
        <f t="shared" si="53"/>
        <v/>
      </c>
      <c r="H755" t="str">
        <f t="shared" si="54"/>
        <v/>
      </c>
      <c r="I755" t="str">
        <f t="shared" si="55"/>
        <v/>
      </c>
      <c r="J755" t="str">
        <f t="shared" si="56"/>
        <v/>
      </c>
      <c r="K755" t="str">
        <f t="shared" si="57"/>
        <v/>
      </c>
    </row>
    <row r="756" spans="6:11">
      <c r="F756" t="str">
        <f>IF(B756="Egg Shop","",IF(J756="","",IFERROR(LOOKUP(2,1/(Purchases!$H$3:$H$2002=J756),Purchases!$F$3:$F$2002),"")))</f>
        <v/>
      </c>
      <c r="G756" t="str">
        <f t="shared" si="53"/>
        <v/>
      </c>
      <c r="H756" t="str">
        <f t="shared" si="54"/>
        <v/>
      </c>
      <c r="I756" t="str">
        <f t="shared" si="55"/>
        <v/>
      </c>
      <c r="J756" t="str">
        <f t="shared" si="56"/>
        <v/>
      </c>
      <c r="K756" t="str">
        <f t="shared" si="57"/>
        <v/>
      </c>
    </row>
    <row r="757" spans="6:11">
      <c r="F757" t="str">
        <f>IF(B757="Egg Shop","",IF(J757="","",IFERROR(LOOKUP(2,1/(Purchases!$H$3:$H$2002=J757),Purchases!$F$3:$F$2002),"")))</f>
        <v/>
      </c>
      <c r="G757" t="str">
        <f t="shared" si="53"/>
        <v/>
      </c>
      <c r="H757" t="str">
        <f t="shared" si="54"/>
        <v/>
      </c>
      <c r="I757" t="str">
        <f t="shared" si="55"/>
        <v/>
      </c>
      <c r="J757" t="str">
        <f t="shared" si="56"/>
        <v/>
      </c>
      <c r="K757" t="str">
        <f t="shared" si="57"/>
        <v/>
      </c>
    </row>
    <row r="758" spans="6:11">
      <c r="F758" t="str">
        <f>IF(B758="Egg Shop","",IF(J758="","",IFERROR(LOOKUP(2,1/(Purchases!$H$3:$H$2002=J758),Purchases!$F$3:$F$2002),"")))</f>
        <v/>
      </c>
      <c r="G758" t="str">
        <f t="shared" si="53"/>
        <v/>
      </c>
      <c r="H758" t="str">
        <f t="shared" si="54"/>
        <v/>
      </c>
      <c r="I758" t="str">
        <f t="shared" si="55"/>
        <v/>
      </c>
      <c r="J758" t="str">
        <f t="shared" si="56"/>
        <v/>
      </c>
      <c r="K758" t="str">
        <f t="shared" si="57"/>
        <v/>
      </c>
    </row>
    <row r="759" spans="6:11">
      <c r="F759" t="str">
        <f>IF(B759="Egg Shop","",IF(J759="","",IFERROR(LOOKUP(2,1/(Purchases!$H$3:$H$2002=J759),Purchases!$F$3:$F$2002),"")))</f>
        <v/>
      </c>
      <c r="G759" t="str">
        <f t="shared" si="53"/>
        <v/>
      </c>
      <c r="H759" t="str">
        <f t="shared" si="54"/>
        <v/>
      </c>
      <c r="I759" t="str">
        <f t="shared" si="55"/>
        <v/>
      </c>
      <c r="J759" t="str">
        <f t="shared" si="56"/>
        <v/>
      </c>
      <c r="K759" t="str">
        <f t="shared" si="57"/>
        <v/>
      </c>
    </row>
    <row r="760" spans="6:11">
      <c r="F760" t="str">
        <f>IF(B760="Egg Shop","",IF(J760="","",IFERROR(LOOKUP(2,1/(Purchases!$H$3:$H$2002=J760),Purchases!$F$3:$F$2002),"")))</f>
        <v/>
      </c>
      <c r="G760" t="str">
        <f t="shared" si="53"/>
        <v/>
      </c>
      <c r="H760" t="str">
        <f t="shared" si="54"/>
        <v/>
      </c>
      <c r="I760" t="str">
        <f t="shared" si="55"/>
        <v/>
      </c>
      <c r="J760" t="str">
        <f t="shared" si="56"/>
        <v/>
      </c>
      <c r="K760" t="str">
        <f t="shared" si="57"/>
        <v/>
      </c>
    </row>
    <row r="761" spans="6:11">
      <c r="F761" t="str">
        <f>IF(B761="Egg Shop","",IF(J761="","",IFERROR(LOOKUP(2,1/(Purchases!$H$3:$H$2002=J761),Purchases!$F$3:$F$2002),"")))</f>
        <v/>
      </c>
      <c r="G761" t="str">
        <f t="shared" si="53"/>
        <v/>
      </c>
      <c r="H761" t="str">
        <f t="shared" si="54"/>
        <v/>
      </c>
      <c r="I761" t="str">
        <f t="shared" si="55"/>
        <v/>
      </c>
      <c r="J761" t="str">
        <f t="shared" si="56"/>
        <v/>
      </c>
      <c r="K761" t="str">
        <f t="shared" si="57"/>
        <v/>
      </c>
    </row>
    <row r="762" spans="6:11">
      <c r="F762" t="str">
        <f>IF(B762="Egg Shop","",IF(J762="","",IFERROR(LOOKUP(2,1/(Purchases!$H$3:$H$2002=J762),Purchases!$F$3:$F$2002),"")))</f>
        <v/>
      </c>
      <c r="G762" t="str">
        <f t="shared" si="53"/>
        <v/>
      </c>
      <c r="H762" t="str">
        <f t="shared" si="54"/>
        <v/>
      </c>
      <c r="I762" t="str">
        <f t="shared" si="55"/>
        <v/>
      </c>
      <c r="J762" t="str">
        <f t="shared" si="56"/>
        <v/>
      </c>
      <c r="K762" t="str">
        <f t="shared" si="57"/>
        <v/>
      </c>
    </row>
    <row r="763" spans="6:11">
      <c r="F763" t="str">
        <f>IF(B763="Egg Shop","",IF(J763="","",IFERROR(LOOKUP(2,1/(Purchases!$H$3:$H$2002=J763),Purchases!$F$3:$F$2002),"")))</f>
        <v/>
      </c>
      <c r="G763" t="str">
        <f t="shared" si="53"/>
        <v/>
      </c>
      <c r="H763" t="str">
        <f t="shared" si="54"/>
        <v/>
      </c>
      <c r="I763" t="str">
        <f t="shared" si="55"/>
        <v/>
      </c>
      <c r="J763" t="str">
        <f t="shared" si="56"/>
        <v/>
      </c>
      <c r="K763" t="str">
        <f t="shared" si="57"/>
        <v/>
      </c>
    </row>
    <row r="764" spans="6:11">
      <c r="F764" t="str">
        <f>IF(B764="Egg Shop","",IF(J764="","",IFERROR(LOOKUP(2,1/(Purchases!$H$3:$H$2002=J764),Purchases!$F$3:$F$2002),"")))</f>
        <v/>
      </c>
      <c r="G764" t="str">
        <f t="shared" si="53"/>
        <v/>
      </c>
      <c r="H764" t="str">
        <f t="shared" si="54"/>
        <v/>
      </c>
      <c r="I764" t="str">
        <f t="shared" si="55"/>
        <v/>
      </c>
      <c r="J764" t="str">
        <f t="shared" si="56"/>
        <v/>
      </c>
      <c r="K764" t="str">
        <f t="shared" si="57"/>
        <v/>
      </c>
    </row>
    <row r="765" spans="6:11">
      <c r="F765" t="str">
        <f>IF(B765="Egg Shop","",IF(J765="","",IFERROR(LOOKUP(2,1/(Purchases!$H$3:$H$2002=J765),Purchases!$F$3:$F$2002),"")))</f>
        <v/>
      </c>
      <c r="G765" t="str">
        <f t="shared" si="53"/>
        <v/>
      </c>
      <c r="H765" t="str">
        <f t="shared" si="54"/>
        <v/>
      </c>
      <c r="I765" t="str">
        <f t="shared" si="55"/>
        <v/>
      </c>
      <c r="J765" t="str">
        <f t="shared" si="56"/>
        <v/>
      </c>
      <c r="K765" t="str">
        <f t="shared" si="57"/>
        <v/>
      </c>
    </row>
    <row r="766" spans="6:11">
      <c r="F766" t="str">
        <f>IF(B766="Egg Shop","",IF(J766="","",IFERROR(LOOKUP(2,1/(Purchases!$H$3:$H$2002=J766),Purchases!$F$3:$F$2002),"")))</f>
        <v/>
      </c>
      <c r="G766" t="str">
        <f t="shared" si="53"/>
        <v/>
      </c>
      <c r="H766" t="str">
        <f t="shared" si="54"/>
        <v/>
      </c>
      <c r="I766" t="str">
        <f t="shared" si="55"/>
        <v/>
      </c>
      <c r="J766" t="str">
        <f t="shared" si="56"/>
        <v/>
      </c>
      <c r="K766" t="str">
        <f t="shared" si="57"/>
        <v/>
      </c>
    </row>
    <row r="767" spans="6:11">
      <c r="F767" t="str">
        <f>IF(B767="Egg Shop","",IF(J767="","",IFERROR(LOOKUP(2,1/(Purchases!$H$3:$H$2002=J767),Purchases!$F$3:$F$2002),"")))</f>
        <v/>
      </c>
      <c r="G767" t="str">
        <f t="shared" si="53"/>
        <v/>
      </c>
      <c r="H767" t="str">
        <f t="shared" si="54"/>
        <v/>
      </c>
      <c r="I767" t="str">
        <f t="shared" si="55"/>
        <v/>
      </c>
      <c r="J767" t="str">
        <f t="shared" si="56"/>
        <v/>
      </c>
      <c r="K767" t="str">
        <f t="shared" si="57"/>
        <v/>
      </c>
    </row>
    <row r="768" spans="6:11">
      <c r="F768" t="str">
        <f>IF(B768="Egg Shop","",IF(J768="","",IFERROR(LOOKUP(2,1/(Purchases!$H$3:$H$2002=J768),Purchases!$F$3:$F$2002),"")))</f>
        <v/>
      </c>
      <c r="G768" t="str">
        <f t="shared" si="53"/>
        <v/>
      </c>
      <c r="H768" t="str">
        <f t="shared" si="54"/>
        <v/>
      </c>
      <c r="I768" t="str">
        <f t="shared" si="55"/>
        <v/>
      </c>
      <c r="J768" t="str">
        <f t="shared" si="56"/>
        <v/>
      </c>
      <c r="K768" t="str">
        <f t="shared" si="57"/>
        <v/>
      </c>
    </row>
    <row r="769" spans="6:11">
      <c r="F769" t="str">
        <f>IF(B769="Egg Shop","",IF(J769="","",IFERROR(LOOKUP(2,1/(Purchases!$H$3:$H$2002=J769),Purchases!$F$3:$F$2002),"")))</f>
        <v/>
      </c>
      <c r="G769" t="str">
        <f t="shared" si="53"/>
        <v/>
      </c>
      <c r="H769" t="str">
        <f t="shared" si="54"/>
        <v/>
      </c>
      <c r="I769" t="str">
        <f t="shared" si="55"/>
        <v/>
      </c>
      <c r="J769" t="str">
        <f t="shared" si="56"/>
        <v/>
      </c>
      <c r="K769" t="str">
        <f t="shared" si="57"/>
        <v/>
      </c>
    </row>
    <row r="770" spans="6:11">
      <c r="F770" t="str">
        <f>IF(B770="Egg Shop","",IF(J770="","",IFERROR(LOOKUP(2,1/(Purchases!$H$3:$H$2002=J770),Purchases!$F$3:$F$2002),"")))</f>
        <v/>
      </c>
      <c r="G770" t="str">
        <f t="shared" si="53"/>
        <v/>
      </c>
      <c r="H770" t="str">
        <f t="shared" si="54"/>
        <v/>
      </c>
      <c r="I770" t="str">
        <f t="shared" si="55"/>
        <v/>
      </c>
      <c r="J770" t="str">
        <f t="shared" si="56"/>
        <v/>
      </c>
      <c r="K770" t="str">
        <f t="shared" si="57"/>
        <v/>
      </c>
    </row>
    <row r="771" spans="6:11">
      <c r="F771" t="str">
        <f>IF(B771="Egg Shop","",IF(J771="","",IFERROR(LOOKUP(2,1/(Purchases!$H$3:$H$2002=J771),Purchases!$F$3:$F$2002),"")))</f>
        <v/>
      </c>
      <c r="G771" t="str">
        <f t="shared" ref="G771:G834" si="58">IF(OR(D771="",E771=""),"",D771*E771)</f>
        <v/>
      </c>
      <c r="H771" t="str">
        <f t="shared" ref="H771:H834" si="59">IF(OR(D771="",F771=""),"",D771*F771)</f>
        <v/>
      </c>
      <c r="I771" t="str">
        <f t="shared" ref="I771:I834" si="60">IF(OR(G771="",H771=""),"",G771-H771)</f>
        <v/>
      </c>
      <c r="J771" t="str">
        <f t="shared" ref="J771:J834" si="61">IF(OR(B771="",C771=""),"",B771&amp;"|"&amp;C771)</f>
        <v/>
      </c>
      <c r="K771" t="str">
        <f t="shared" si="57"/>
        <v/>
      </c>
    </row>
    <row r="772" spans="6:11">
      <c r="F772" t="str">
        <f>IF(B772="Egg Shop","",IF(J772="","",IFERROR(LOOKUP(2,1/(Purchases!$H$3:$H$2002=J772),Purchases!$F$3:$F$2002),"")))</f>
        <v/>
      </c>
      <c r="G772" t="str">
        <f t="shared" si="58"/>
        <v/>
      </c>
      <c r="H772" t="str">
        <f t="shared" si="59"/>
        <v/>
      </c>
      <c r="I772" t="str">
        <f t="shared" si="60"/>
        <v/>
      </c>
      <c r="J772" t="str">
        <f t="shared" si="61"/>
        <v/>
      </c>
      <c r="K772" t="str">
        <f t="shared" si="57"/>
        <v/>
      </c>
    </row>
    <row r="773" spans="6:11">
      <c r="F773" t="str">
        <f>IF(B773="Egg Shop","",IF(J773="","",IFERROR(LOOKUP(2,1/(Purchases!$H$3:$H$2002=J773),Purchases!$F$3:$F$2002),"")))</f>
        <v/>
      </c>
      <c r="G773" t="str">
        <f t="shared" si="58"/>
        <v/>
      </c>
      <c r="H773" t="str">
        <f t="shared" si="59"/>
        <v/>
      </c>
      <c r="I773" t="str">
        <f t="shared" si="60"/>
        <v/>
      </c>
      <c r="J773" t="str">
        <f t="shared" si="61"/>
        <v/>
      </c>
      <c r="K773" t="str">
        <f t="shared" si="57"/>
        <v/>
      </c>
    </row>
    <row r="774" spans="6:11">
      <c r="F774" t="str">
        <f>IF(B774="Egg Shop","",IF(J774="","",IFERROR(LOOKUP(2,1/(Purchases!$H$3:$H$2002=J774),Purchases!$F$3:$F$2002),"")))</f>
        <v/>
      </c>
      <c r="G774" t="str">
        <f t="shared" si="58"/>
        <v/>
      </c>
      <c r="H774" t="str">
        <f t="shared" si="59"/>
        <v/>
      </c>
      <c r="I774" t="str">
        <f t="shared" si="60"/>
        <v/>
      </c>
      <c r="J774" t="str">
        <f t="shared" si="61"/>
        <v/>
      </c>
      <c r="K774" t="str">
        <f t="shared" si="57"/>
        <v/>
      </c>
    </row>
    <row r="775" spans="6:11">
      <c r="F775" t="str">
        <f>IF(B775="Egg Shop","",IF(J775="","",IFERROR(LOOKUP(2,1/(Purchases!$H$3:$H$2002=J775),Purchases!$F$3:$F$2002),"")))</f>
        <v/>
      </c>
      <c r="G775" t="str">
        <f t="shared" si="58"/>
        <v/>
      </c>
      <c r="H775" t="str">
        <f t="shared" si="59"/>
        <v/>
      </c>
      <c r="I775" t="str">
        <f t="shared" si="60"/>
        <v/>
      </c>
      <c r="J775" t="str">
        <f t="shared" si="61"/>
        <v/>
      </c>
      <c r="K775" t="str">
        <f t="shared" si="57"/>
        <v/>
      </c>
    </row>
    <row r="776" spans="6:11">
      <c r="F776" t="str">
        <f>IF(B776="Egg Shop","",IF(J776="","",IFERROR(LOOKUP(2,1/(Purchases!$H$3:$H$2002=J776),Purchases!$F$3:$F$2002),"")))</f>
        <v/>
      </c>
      <c r="G776" t="str">
        <f t="shared" si="58"/>
        <v/>
      </c>
      <c r="H776" t="str">
        <f t="shared" si="59"/>
        <v/>
      </c>
      <c r="I776" t="str">
        <f t="shared" si="60"/>
        <v/>
      </c>
      <c r="J776" t="str">
        <f t="shared" si="61"/>
        <v/>
      </c>
      <c r="K776" t="str">
        <f t="shared" si="57"/>
        <v/>
      </c>
    </row>
    <row r="777" spans="6:11">
      <c r="F777" t="str">
        <f>IF(B777="Egg Shop","",IF(J777="","",IFERROR(LOOKUP(2,1/(Purchases!$H$3:$H$2002=J777),Purchases!$F$3:$F$2002),"")))</f>
        <v/>
      </c>
      <c r="G777" t="str">
        <f t="shared" si="58"/>
        <v/>
      </c>
      <c r="H777" t="str">
        <f t="shared" si="59"/>
        <v/>
      </c>
      <c r="I777" t="str">
        <f t="shared" si="60"/>
        <v/>
      </c>
      <c r="J777" t="str">
        <f t="shared" si="61"/>
        <v/>
      </c>
      <c r="K777" t="str">
        <f t="shared" si="57"/>
        <v/>
      </c>
    </row>
    <row r="778" spans="6:11">
      <c r="F778" t="str">
        <f>IF(B778="Egg Shop","",IF(J778="","",IFERROR(LOOKUP(2,1/(Purchases!$H$3:$H$2002=J778),Purchases!$F$3:$F$2002),"")))</f>
        <v/>
      </c>
      <c r="G778" t="str">
        <f t="shared" si="58"/>
        <v/>
      </c>
      <c r="H778" t="str">
        <f t="shared" si="59"/>
        <v/>
      </c>
      <c r="I778" t="str">
        <f t="shared" si="60"/>
        <v/>
      </c>
      <c r="J778" t="str">
        <f t="shared" si="61"/>
        <v/>
      </c>
      <c r="K778" t="str">
        <f t="shared" si="57"/>
        <v/>
      </c>
    </row>
    <row r="779" spans="6:11">
      <c r="F779" t="str">
        <f>IF(B779="Egg Shop","",IF(J779="","",IFERROR(LOOKUP(2,1/(Purchases!$H$3:$H$2002=J779),Purchases!$F$3:$F$2002),"")))</f>
        <v/>
      </c>
      <c r="G779" t="str">
        <f t="shared" si="58"/>
        <v/>
      </c>
      <c r="H779" t="str">
        <f t="shared" si="59"/>
        <v/>
      </c>
      <c r="I779" t="str">
        <f t="shared" si="60"/>
        <v/>
      </c>
      <c r="J779" t="str">
        <f t="shared" si="61"/>
        <v/>
      </c>
      <c r="K779" t="str">
        <f t="shared" si="57"/>
        <v/>
      </c>
    </row>
    <row r="780" spans="6:11">
      <c r="F780" t="str">
        <f>IF(B780="Egg Shop","",IF(J780="","",IFERROR(LOOKUP(2,1/(Purchases!$H$3:$H$2002=J780),Purchases!$F$3:$F$2002),"")))</f>
        <v/>
      </c>
      <c r="G780" t="str">
        <f t="shared" si="58"/>
        <v/>
      </c>
      <c r="H780" t="str">
        <f t="shared" si="59"/>
        <v/>
      </c>
      <c r="I780" t="str">
        <f t="shared" si="60"/>
        <v/>
      </c>
      <c r="J780" t="str">
        <f t="shared" si="61"/>
        <v/>
      </c>
      <c r="K780" t="str">
        <f t="shared" si="57"/>
        <v/>
      </c>
    </row>
    <row r="781" spans="6:11">
      <c r="F781" t="str">
        <f>IF(B781="Egg Shop","",IF(J781="","",IFERROR(LOOKUP(2,1/(Purchases!$H$3:$H$2002=J781),Purchases!$F$3:$F$2002),"")))</f>
        <v/>
      </c>
      <c r="G781" t="str">
        <f t="shared" si="58"/>
        <v/>
      </c>
      <c r="H781" t="str">
        <f t="shared" si="59"/>
        <v/>
      </c>
      <c r="I781" t="str">
        <f t="shared" si="60"/>
        <v/>
      </c>
      <c r="J781" t="str">
        <f t="shared" si="61"/>
        <v/>
      </c>
      <c r="K781" t="str">
        <f t="shared" si="57"/>
        <v/>
      </c>
    </row>
    <row r="782" spans="6:11">
      <c r="F782" t="str">
        <f>IF(B782="Egg Shop","",IF(J782="","",IFERROR(LOOKUP(2,1/(Purchases!$H$3:$H$2002=J782),Purchases!$F$3:$F$2002),"")))</f>
        <v/>
      </c>
      <c r="G782" t="str">
        <f t="shared" si="58"/>
        <v/>
      </c>
      <c r="H782" t="str">
        <f t="shared" si="59"/>
        <v/>
      </c>
      <c r="I782" t="str">
        <f t="shared" si="60"/>
        <v/>
      </c>
      <c r="J782" t="str">
        <f t="shared" si="61"/>
        <v/>
      </c>
      <c r="K782" t="str">
        <f t="shared" si="57"/>
        <v/>
      </c>
    </row>
    <row r="783" spans="6:11">
      <c r="F783" t="str">
        <f>IF(B783="Egg Shop","",IF(J783="","",IFERROR(LOOKUP(2,1/(Purchases!$H$3:$H$2002=J783),Purchases!$F$3:$F$2002),"")))</f>
        <v/>
      </c>
      <c r="G783" t="str">
        <f t="shared" si="58"/>
        <v/>
      </c>
      <c r="H783" t="str">
        <f t="shared" si="59"/>
        <v/>
      </c>
      <c r="I783" t="str">
        <f t="shared" si="60"/>
        <v/>
      </c>
      <c r="J783" t="str">
        <f t="shared" si="61"/>
        <v/>
      </c>
      <c r="K783" t="str">
        <f t="shared" si="57"/>
        <v/>
      </c>
    </row>
    <row r="784" spans="6:11">
      <c r="F784" t="str">
        <f>IF(B784="Egg Shop","",IF(J784="","",IFERROR(LOOKUP(2,1/(Purchases!$H$3:$H$2002=J784),Purchases!$F$3:$F$2002),"")))</f>
        <v/>
      </c>
      <c r="G784" t="str">
        <f t="shared" si="58"/>
        <v/>
      </c>
      <c r="H784" t="str">
        <f t="shared" si="59"/>
        <v/>
      </c>
      <c r="I784" t="str">
        <f t="shared" si="60"/>
        <v/>
      </c>
      <c r="J784" t="str">
        <f t="shared" si="61"/>
        <v/>
      </c>
      <c r="K784" t="str">
        <f t="shared" si="57"/>
        <v/>
      </c>
    </row>
    <row r="785" spans="6:11">
      <c r="F785" t="str">
        <f>IF(B785="Egg Shop","",IF(J785="","",IFERROR(LOOKUP(2,1/(Purchases!$H$3:$H$2002=J785),Purchases!$F$3:$F$2002),"")))</f>
        <v/>
      </c>
      <c r="G785" t="str">
        <f t="shared" si="58"/>
        <v/>
      </c>
      <c r="H785" t="str">
        <f t="shared" si="59"/>
        <v/>
      </c>
      <c r="I785" t="str">
        <f t="shared" si="60"/>
        <v/>
      </c>
      <c r="J785" t="str">
        <f t="shared" si="61"/>
        <v/>
      </c>
      <c r="K785" t="str">
        <f t="shared" si="57"/>
        <v/>
      </c>
    </row>
    <row r="786" spans="6:11">
      <c r="F786" t="str">
        <f>IF(B786="Egg Shop","",IF(J786="","",IFERROR(LOOKUP(2,1/(Purchases!$H$3:$H$2002=J786),Purchases!$F$3:$F$2002),"")))</f>
        <v/>
      </c>
      <c r="G786" t="str">
        <f t="shared" si="58"/>
        <v/>
      </c>
      <c r="H786" t="str">
        <f t="shared" si="59"/>
        <v/>
      </c>
      <c r="I786" t="str">
        <f t="shared" si="60"/>
        <v/>
      </c>
      <c r="J786" t="str">
        <f t="shared" si="61"/>
        <v/>
      </c>
      <c r="K786" t="str">
        <f t="shared" ref="K786:K849" si="62">IF(A786&lt;&gt;"","Cash","")</f>
        <v/>
      </c>
    </row>
    <row r="787" spans="6:11">
      <c r="F787" t="str">
        <f>IF(B787="Egg Shop","",IF(J787="","",IFERROR(LOOKUP(2,1/(Purchases!$H$3:$H$2002=J787),Purchases!$F$3:$F$2002),"")))</f>
        <v/>
      </c>
      <c r="G787" t="str">
        <f t="shared" si="58"/>
        <v/>
      </c>
      <c r="H787" t="str">
        <f t="shared" si="59"/>
        <v/>
      </c>
      <c r="I787" t="str">
        <f t="shared" si="60"/>
        <v/>
      </c>
      <c r="J787" t="str">
        <f t="shared" si="61"/>
        <v/>
      </c>
      <c r="K787" t="str">
        <f t="shared" si="62"/>
        <v/>
      </c>
    </row>
    <row r="788" spans="6:11">
      <c r="F788" t="str">
        <f>IF(B788="Egg Shop","",IF(J788="","",IFERROR(LOOKUP(2,1/(Purchases!$H$3:$H$2002=J788),Purchases!$F$3:$F$2002),"")))</f>
        <v/>
      </c>
      <c r="G788" t="str">
        <f t="shared" si="58"/>
        <v/>
      </c>
      <c r="H788" t="str">
        <f t="shared" si="59"/>
        <v/>
      </c>
      <c r="I788" t="str">
        <f t="shared" si="60"/>
        <v/>
      </c>
      <c r="J788" t="str">
        <f t="shared" si="61"/>
        <v/>
      </c>
      <c r="K788" t="str">
        <f t="shared" si="62"/>
        <v/>
      </c>
    </row>
    <row r="789" spans="6:11">
      <c r="F789" t="str">
        <f>IF(B789="Egg Shop","",IF(J789="","",IFERROR(LOOKUP(2,1/(Purchases!$H$3:$H$2002=J789),Purchases!$F$3:$F$2002),"")))</f>
        <v/>
      </c>
      <c r="G789" t="str">
        <f t="shared" si="58"/>
        <v/>
      </c>
      <c r="H789" t="str">
        <f t="shared" si="59"/>
        <v/>
      </c>
      <c r="I789" t="str">
        <f t="shared" si="60"/>
        <v/>
      </c>
      <c r="J789" t="str">
        <f t="shared" si="61"/>
        <v/>
      </c>
      <c r="K789" t="str">
        <f t="shared" si="62"/>
        <v/>
      </c>
    </row>
    <row r="790" spans="6:11">
      <c r="F790" t="str">
        <f>IF(B790="Egg Shop","",IF(J790="","",IFERROR(LOOKUP(2,1/(Purchases!$H$3:$H$2002=J790),Purchases!$F$3:$F$2002),"")))</f>
        <v/>
      </c>
      <c r="G790" t="str">
        <f t="shared" si="58"/>
        <v/>
      </c>
      <c r="H790" t="str">
        <f t="shared" si="59"/>
        <v/>
      </c>
      <c r="I790" t="str">
        <f t="shared" si="60"/>
        <v/>
      </c>
      <c r="J790" t="str">
        <f t="shared" si="61"/>
        <v/>
      </c>
      <c r="K790" t="str">
        <f t="shared" si="62"/>
        <v/>
      </c>
    </row>
    <row r="791" spans="6:11">
      <c r="F791" t="str">
        <f>IF(B791="Egg Shop","",IF(J791="","",IFERROR(LOOKUP(2,1/(Purchases!$H$3:$H$2002=J791),Purchases!$F$3:$F$2002),"")))</f>
        <v/>
      </c>
      <c r="G791" t="str">
        <f t="shared" si="58"/>
        <v/>
      </c>
      <c r="H791" t="str">
        <f t="shared" si="59"/>
        <v/>
      </c>
      <c r="I791" t="str">
        <f t="shared" si="60"/>
        <v/>
      </c>
      <c r="J791" t="str">
        <f t="shared" si="61"/>
        <v/>
      </c>
      <c r="K791" t="str">
        <f t="shared" si="62"/>
        <v/>
      </c>
    </row>
    <row r="792" spans="6:11">
      <c r="F792" t="str">
        <f>IF(B792="Egg Shop","",IF(J792="","",IFERROR(LOOKUP(2,1/(Purchases!$H$3:$H$2002=J792),Purchases!$F$3:$F$2002),"")))</f>
        <v/>
      </c>
      <c r="G792" t="str">
        <f t="shared" si="58"/>
        <v/>
      </c>
      <c r="H792" t="str">
        <f t="shared" si="59"/>
        <v/>
      </c>
      <c r="I792" t="str">
        <f t="shared" si="60"/>
        <v/>
      </c>
      <c r="J792" t="str">
        <f t="shared" si="61"/>
        <v/>
      </c>
      <c r="K792" t="str">
        <f t="shared" si="62"/>
        <v/>
      </c>
    </row>
    <row r="793" spans="6:11">
      <c r="F793" t="str">
        <f>IF(B793="Egg Shop","",IF(J793="","",IFERROR(LOOKUP(2,1/(Purchases!$H$3:$H$2002=J793),Purchases!$F$3:$F$2002),"")))</f>
        <v/>
      </c>
      <c r="G793" t="str">
        <f t="shared" si="58"/>
        <v/>
      </c>
      <c r="H793" t="str">
        <f t="shared" si="59"/>
        <v/>
      </c>
      <c r="I793" t="str">
        <f t="shared" si="60"/>
        <v/>
      </c>
      <c r="J793" t="str">
        <f t="shared" si="61"/>
        <v/>
      </c>
      <c r="K793" t="str">
        <f t="shared" si="62"/>
        <v/>
      </c>
    </row>
    <row r="794" spans="6:11">
      <c r="F794" t="str">
        <f>IF(B794="Egg Shop","",IF(J794="","",IFERROR(LOOKUP(2,1/(Purchases!$H$3:$H$2002=J794),Purchases!$F$3:$F$2002),"")))</f>
        <v/>
      </c>
      <c r="G794" t="str">
        <f t="shared" si="58"/>
        <v/>
      </c>
      <c r="H794" t="str">
        <f t="shared" si="59"/>
        <v/>
      </c>
      <c r="I794" t="str">
        <f t="shared" si="60"/>
        <v/>
      </c>
      <c r="J794" t="str">
        <f t="shared" si="61"/>
        <v/>
      </c>
      <c r="K794" t="str">
        <f t="shared" si="62"/>
        <v/>
      </c>
    </row>
    <row r="795" spans="6:11">
      <c r="F795" t="str">
        <f>IF(B795="Egg Shop","",IF(J795="","",IFERROR(LOOKUP(2,1/(Purchases!$H$3:$H$2002=J795),Purchases!$F$3:$F$2002),"")))</f>
        <v/>
      </c>
      <c r="G795" t="str">
        <f t="shared" si="58"/>
        <v/>
      </c>
      <c r="H795" t="str">
        <f t="shared" si="59"/>
        <v/>
      </c>
      <c r="I795" t="str">
        <f t="shared" si="60"/>
        <v/>
      </c>
      <c r="J795" t="str">
        <f t="shared" si="61"/>
        <v/>
      </c>
      <c r="K795" t="str">
        <f t="shared" si="62"/>
        <v/>
      </c>
    </row>
    <row r="796" spans="6:11">
      <c r="F796" t="str">
        <f>IF(B796="Egg Shop","",IF(J796="","",IFERROR(LOOKUP(2,1/(Purchases!$H$3:$H$2002=J796),Purchases!$F$3:$F$2002),"")))</f>
        <v/>
      </c>
      <c r="G796" t="str">
        <f t="shared" si="58"/>
        <v/>
      </c>
      <c r="H796" t="str">
        <f t="shared" si="59"/>
        <v/>
      </c>
      <c r="I796" t="str">
        <f t="shared" si="60"/>
        <v/>
      </c>
      <c r="J796" t="str">
        <f t="shared" si="61"/>
        <v/>
      </c>
      <c r="K796" t="str">
        <f t="shared" si="62"/>
        <v/>
      </c>
    </row>
    <row r="797" spans="6:11">
      <c r="F797" t="str">
        <f>IF(B797="Egg Shop","",IF(J797="","",IFERROR(LOOKUP(2,1/(Purchases!$H$3:$H$2002=J797),Purchases!$F$3:$F$2002),"")))</f>
        <v/>
      </c>
      <c r="G797" t="str">
        <f t="shared" si="58"/>
        <v/>
      </c>
      <c r="H797" t="str">
        <f t="shared" si="59"/>
        <v/>
      </c>
      <c r="I797" t="str">
        <f t="shared" si="60"/>
        <v/>
      </c>
      <c r="J797" t="str">
        <f t="shared" si="61"/>
        <v/>
      </c>
      <c r="K797" t="str">
        <f t="shared" si="62"/>
        <v/>
      </c>
    </row>
    <row r="798" spans="6:11">
      <c r="F798" t="str">
        <f>IF(B798="Egg Shop","",IF(J798="","",IFERROR(LOOKUP(2,1/(Purchases!$H$3:$H$2002=J798),Purchases!$F$3:$F$2002),"")))</f>
        <v/>
      </c>
      <c r="G798" t="str">
        <f t="shared" si="58"/>
        <v/>
      </c>
      <c r="H798" t="str">
        <f t="shared" si="59"/>
        <v/>
      </c>
      <c r="I798" t="str">
        <f t="shared" si="60"/>
        <v/>
      </c>
      <c r="J798" t="str">
        <f t="shared" si="61"/>
        <v/>
      </c>
      <c r="K798" t="str">
        <f t="shared" si="62"/>
        <v/>
      </c>
    </row>
    <row r="799" spans="6:11">
      <c r="F799" t="str">
        <f>IF(B799="Egg Shop","",IF(J799="","",IFERROR(LOOKUP(2,1/(Purchases!$H$3:$H$2002=J799),Purchases!$F$3:$F$2002),"")))</f>
        <v/>
      </c>
      <c r="G799" t="str">
        <f t="shared" si="58"/>
        <v/>
      </c>
      <c r="H799" t="str">
        <f t="shared" si="59"/>
        <v/>
      </c>
      <c r="I799" t="str">
        <f t="shared" si="60"/>
        <v/>
      </c>
      <c r="J799" t="str">
        <f t="shared" si="61"/>
        <v/>
      </c>
      <c r="K799" t="str">
        <f t="shared" si="62"/>
        <v/>
      </c>
    </row>
    <row r="800" spans="6:11">
      <c r="F800" t="str">
        <f>IF(B800="Egg Shop","",IF(J800="","",IFERROR(LOOKUP(2,1/(Purchases!$H$3:$H$2002=J800),Purchases!$F$3:$F$2002),"")))</f>
        <v/>
      </c>
      <c r="G800" t="str">
        <f t="shared" si="58"/>
        <v/>
      </c>
      <c r="H800" t="str">
        <f t="shared" si="59"/>
        <v/>
      </c>
      <c r="I800" t="str">
        <f t="shared" si="60"/>
        <v/>
      </c>
      <c r="J800" t="str">
        <f t="shared" si="61"/>
        <v/>
      </c>
      <c r="K800" t="str">
        <f t="shared" si="62"/>
        <v/>
      </c>
    </row>
    <row r="801" spans="6:11">
      <c r="F801" t="str">
        <f>IF(B801="Egg Shop","",IF(J801="","",IFERROR(LOOKUP(2,1/(Purchases!$H$3:$H$2002=J801),Purchases!$F$3:$F$2002),"")))</f>
        <v/>
      </c>
      <c r="G801" t="str">
        <f t="shared" si="58"/>
        <v/>
      </c>
      <c r="H801" t="str">
        <f t="shared" si="59"/>
        <v/>
      </c>
      <c r="I801" t="str">
        <f t="shared" si="60"/>
        <v/>
      </c>
      <c r="J801" t="str">
        <f t="shared" si="61"/>
        <v/>
      </c>
      <c r="K801" t="str">
        <f t="shared" si="62"/>
        <v/>
      </c>
    </row>
    <row r="802" spans="6:11">
      <c r="F802" t="str">
        <f>IF(B802="Egg Shop","",IF(J802="","",IFERROR(LOOKUP(2,1/(Purchases!$H$3:$H$2002=J802),Purchases!$F$3:$F$2002),"")))</f>
        <v/>
      </c>
      <c r="G802" t="str">
        <f t="shared" si="58"/>
        <v/>
      </c>
      <c r="H802" t="str">
        <f t="shared" si="59"/>
        <v/>
      </c>
      <c r="I802" t="str">
        <f t="shared" si="60"/>
        <v/>
      </c>
      <c r="J802" t="str">
        <f t="shared" si="61"/>
        <v/>
      </c>
      <c r="K802" t="str">
        <f t="shared" si="62"/>
        <v/>
      </c>
    </row>
    <row r="803" spans="6:11">
      <c r="F803" t="str">
        <f>IF(B803="Egg Shop","",IF(J803="","",IFERROR(LOOKUP(2,1/(Purchases!$H$3:$H$2002=J803),Purchases!$F$3:$F$2002),"")))</f>
        <v/>
      </c>
      <c r="G803" t="str">
        <f t="shared" si="58"/>
        <v/>
      </c>
      <c r="H803" t="str">
        <f t="shared" si="59"/>
        <v/>
      </c>
      <c r="I803" t="str">
        <f t="shared" si="60"/>
        <v/>
      </c>
      <c r="J803" t="str">
        <f t="shared" si="61"/>
        <v/>
      </c>
      <c r="K803" t="str">
        <f t="shared" si="62"/>
        <v/>
      </c>
    </row>
    <row r="804" spans="6:11">
      <c r="F804" t="str">
        <f>IF(B804="Egg Shop","",IF(J804="","",IFERROR(LOOKUP(2,1/(Purchases!$H$3:$H$2002=J804),Purchases!$F$3:$F$2002),"")))</f>
        <v/>
      </c>
      <c r="G804" t="str">
        <f t="shared" si="58"/>
        <v/>
      </c>
      <c r="H804" t="str">
        <f t="shared" si="59"/>
        <v/>
      </c>
      <c r="I804" t="str">
        <f t="shared" si="60"/>
        <v/>
      </c>
      <c r="J804" t="str">
        <f t="shared" si="61"/>
        <v/>
      </c>
      <c r="K804" t="str">
        <f t="shared" si="62"/>
        <v/>
      </c>
    </row>
    <row r="805" spans="6:11">
      <c r="F805" t="str">
        <f>IF(B805="Egg Shop","",IF(J805="","",IFERROR(LOOKUP(2,1/(Purchases!$H$3:$H$2002=J805),Purchases!$F$3:$F$2002),"")))</f>
        <v/>
      </c>
      <c r="G805" t="str">
        <f t="shared" si="58"/>
        <v/>
      </c>
      <c r="H805" t="str">
        <f t="shared" si="59"/>
        <v/>
      </c>
      <c r="I805" t="str">
        <f t="shared" si="60"/>
        <v/>
      </c>
      <c r="J805" t="str">
        <f t="shared" si="61"/>
        <v/>
      </c>
      <c r="K805" t="str">
        <f t="shared" si="62"/>
        <v/>
      </c>
    </row>
    <row r="806" spans="6:11">
      <c r="F806" t="str">
        <f>IF(B806="Egg Shop","",IF(J806="","",IFERROR(LOOKUP(2,1/(Purchases!$H$3:$H$2002=J806),Purchases!$F$3:$F$2002),"")))</f>
        <v/>
      </c>
      <c r="G806" t="str">
        <f t="shared" si="58"/>
        <v/>
      </c>
      <c r="H806" t="str">
        <f t="shared" si="59"/>
        <v/>
      </c>
      <c r="I806" t="str">
        <f t="shared" si="60"/>
        <v/>
      </c>
      <c r="J806" t="str">
        <f t="shared" si="61"/>
        <v/>
      </c>
      <c r="K806" t="str">
        <f t="shared" si="62"/>
        <v/>
      </c>
    </row>
    <row r="807" spans="6:11">
      <c r="F807" t="str">
        <f>IF(B807="Egg Shop","",IF(J807="","",IFERROR(LOOKUP(2,1/(Purchases!$H$3:$H$2002=J807),Purchases!$F$3:$F$2002),"")))</f>
        <v/>
      </c>
      <c r="G807" t="str">
        <f t="shared" si="58"/>
        <v/>
      </c>
      <c r="H807" t="str">
        <f t="shared" si="59"/>
        <v/>
      </c>
      <c r="I807" t="str">
        <f t="shared" si="60"/>
        <v/>
      </c>
      <c r="J807" t="str">
        <f t="shared" si="61"/>
        <v/>
      </c>
      <c r="K807" t="str">
        <f t="shared" si="62"/>
        <v/>
      </c>
    </row>
    <row r="808" spans="6:11">
      <c r="F808" t="str">
        <f>IF(B808="Egg Shop","",IF(J808="","",IFERROR(LOOKUP(2,1/(Purchases!$H$3:$H$2002=J808),Purchases!$F$3:$F$2002),"")))</f>
        <v/>
      </c>
      <c r="G808" t="str">
        <f t="shared" si="58"/>
        <v/>
      </c>
      <c r="H808" t="str">
        <f t="shared" si="59"/>
        <v/>
      </c>
      <c r="I808" t="str">
        <f t="shared" si="60"/>
        <v/>
      </c>
      <c r="J808" t="str">
        <f t="shared" si="61"/>
        <v/>
      </c>
      <c r="K808" t="str">
        <f t="shared" si="62"/>
        <v/>
      </c>
    </row>
    <row r="809" spans="6:11">
      <c r="F809" t="str">
        <f>IF(B809="Egg Shop","",IF(J809="","",IFERROR(LOOKUP(2,1/(Purchases!$H$3:$H$2002=J809),Purchases!$F$3:$F$2002),"")))</f>
        <v/>
      </c>
      <c r="G809" t="str">
        <f t="shared" si="58"/>
        <v/>
      </c>
      <c r="H809" t="str">
        <f t="shared" si="59"/>
        <v/>
      </c>
      <c r="I809" t="str">
        <f t="shared" si="60"/>
        <v/>
      </c>
      <c r="J809" t="str">
        <f t="shared" si="61"/>
        <v/>
      </c>
      <c r="K809" t="str">
        <f t="shared" si="62"/>
        <v/>
      </c>
    </row>
    <row r="810" spans="6:11">
      <c r="F810" t="str">
        <f>IF(B810="Egg Shop","",IF(J810="","",IFERROR(LOOKUP(2,1/(Purchases!$H$3:$H$2002=J810),Purchases!$F$3:$F$2002),"")))</f>
        <v/>
      </c>
      <c r="G810" t="str">
        <f t="shared" si="58"/>
        <v/>
      </c>
      <c r="H810" t="str">
        <f t="shared" si="59"/>
        <v/>
      </c>
      <c r="I810" t="str">
        <f t="shared" si="60"/>
        <v/>
      </c>
      <c r="J810" t="str">
        <f t="shared" si="61"/>
        <v/>
      </c>
      <c r="K810" t="str">
        <f t="shared" si="62"/>
        <v/>
      </c>
    </row>
    <row r="811" spans="6:11">
      <c r="F811" t="str">
        <f>IF(B811="Egg Shop","",IF(J811="","",IFERROR(LOOKUP(2,1/(Purchases!$H$3:$H$2002=J811),Purchases!$F$3:$F$2002),"")))</f>
        <v/>
      </c>
      <c r="G811" t="str">
        <f t="shared" si="58"/>
        <v/>
      </c>
      <c r="H811" t="str">
        <f t="shared" si="59"/>
        <v/>
      </c>
      <c r="I811" t="str">
        <f t="shared" si="60"/>
        <v/>
      </c>
      <c r="J811" t="str">
        <f t="shared" si="61"/>
        <v/>
      </c>
      <c r="K811" t="str">
        <f t="shared" si="62"/>
        <v/>
      </c>
    </row>
    <row r="812" spans="6:11">
      <c r="F812" t="str">
        <f>IF(B812="Egg Shop","",IF(J812="","",IFERROR(LOOKUP(2,1/(Purchases!$H$3:$H$2002=J812),Purchases!$F$3:$F$2002),"")))</f>
        <v/>
      </c>
      <c r="G812" t="str">
        <f t="shared" si="58"/>
        <v/>
      </c>
      <c r="H812" t="str">
        <f t="shared" si="59"/>
        <v/>
      </c>
      <c r="I812" t="str">
        <f t="shared" si="60"/>
        <v/>
      </c>
      <c r="J812" t="str">
        <f t="shared" si="61"/>
        <v/>
      </c>
      <c r="K812" t="str">
        <f t="shared" si="62"/>
        <v/>
      </c>
    </row>
    <row r="813" spans="6:11">
      <c r="F813" t="str">
        <f>IF(B813="Egg Shop","",IF(J813="","",IFERROR(LOOKUP(2,1/(Purchases!$H$3:$H$2002=J813),Purchases!$F$3:$F$2002),"")))</f>
        <v/>
      </c>
      <c r="G813" t="str">
        <f t="shared" si="58"/>
        <v/>
      </c>
      <c r="H813" t="str">
        <f t="shared" si="59"/>
        <v/>
      </c>
      <c r="I813" t="str">
        <f t="shared" si="60"/>
        <v/>
      </c>
      <c r="J813" t="str">
        <f t="shared" si="61"/>
        <v/>
      </c>
      <c r="K813" t="str">
        <f t="shared" si="62"/>
        <v/>
      </c>
    </row>
    <row r="814" spans="6:11">
      <c r="F814" t="str">
        <f>IF(B814="Egg Shop","",IF(J814="","",IFERROR(LOOKUP(2,1/(Purchases!$H$3:$H$2002=J814),Purchases!$F$3:$F$2002),"")))</f>
        <v/>
      </c>
      <c r="G814" t="str">
        <f t="shared" si="58"/>
        <v/>
      </c>
      <c r="H814" t="str">
        <f t="shared" si="59"/>
        <v/>
      </c>
      <c r="I814" t="str">
        <f t="shared" si="60"/>
        <v/>
      </c>
      <c r="J814" t="str">
        <f t="shared" si="61"/>
        <v/>
      </c>
      <c r="K814" t="str">
        <f t="shared" si="62"/>
        <v/>
      </c>
    </row>
    <row r="815" spans="6:11">
      <c r="F815" t="str">
        <f>IF(B815="Egg Shop","",IF(J815="","",IFERROR(LOOKUP(2,1/(Purchases!$H$3:$H$2002=J815),Purchases!$F$3:$F$2002),"")))</f>
        <v/>
      </c>
      <c r="G815" t="str">
        <f t="shared" si="58"/>
        <v/>
      </c>
      <c r="H815" t="str">
        <f t="shared" si="59"/>
        <v/>
      </c>
      <c r="I815" t="str">
        <f t="shared" si="60"/>
        <v/>
      </c>
      <c r="J815" t="str">
        <f t="shared" si="61"/>
        <v/>
      </c>
      <c r="K815" t="str">
        <f t="shared" si="62"/>
        <v/>
      </c>
    </row>
    <row r="816" spans="6:11">
      <c r="F816" t="str">
        <f>IF(B816="Egg Shop","",IF(J816="","",IFERROR(LOOKUP(2,1/(Purchases!$H$3:$H$2002=J816),Purchases!$F$3:$F$2002),"")))</f>
        <v/>
      </c>
      <c r="G816" t="str">
        <f t="shared" si="58"/>
        <v/>
      </c>
      <c r="H816" t="str">
        <f t="shared" si="59"/>
        <v/>
      </c>
      <c r="I816" t="str">
        <f t="shared" si="60"/>
        <v/>
      </c>
      <c r="J816" t="str">
        <f t="shared" si="61"/>
        <v/>
      </c>
      <c r="K816" t="str">
        <f t="shared" si="62"/>
        <v/>
      </c>
    </row>
    <row r="817" spans="6:11">
      <c r="F817" t="str">
        <f>IF(B817="Egg Shop","",IF(J817="","",IFERROR(LOOKUP(2,1/(Purchases!$H$3:$H$2002=J817),Purchases!$F$3:$F$2002),"")))</f>
        <v/>
      </c>
      <c r="G817" t="str">
        <f t="shared" si="58"/>
        <v/>
      </c>
      <c r="H817" t="str">
        <f t="shared" si="59"/>
        <v/>
      </c>
      <c r="I817" t="str">
        <f t="shared" si="60"/>
        <v/>
      </c>
      <c r="J817" t="str">
        <f t="shared" si="61"/>
        <v/>
      </c>
      <c r="K817" t="str">
        <f t="shared" si="62"/>
        <v/>
      </c>
    </row>
    <row r="818" spans="6:11">
      <c r="F818" t="str">
        <f>IF(B818="Egg Shop","",IF(J818="","",IFERROR(LOOKUP(2,1/(Purchases!$H$3:$H$2002=J818),Purchases!$F$3:$F$2002),"")))</f>
        <v/>
      </c>
      <c r="G818" t="str">
        <f t="shared" si="58"/>
        <v/>
      </c>
      <c r="H818" t="str">
        <f t="shared" si="59"/>
        <v/>
      </c>
      <c r="I818" t="str">
        <f t="shared" si="60"/>
        <v/>
      </c>
      <c r="J818" t="str">
        <f t="shared" si="61"/>
        <v/>
      </c>
      <c r="K818" t="str">
        <f t="shared" si="62"/>
        <v/>
      </c>
    </row>
    <row r="819" spans="6:11">
      <c r="F819" t="str">
        <f>IF(B819="Egg Shop","",IF(J819="","",IFERROR(LOOKUP(2,1/(Purchases!$H$3:$H$2002=J819),Purchases!$F$3:$F$2002),"")))</f>
        <v/>
      </c>
      <c r="G819" t="str">
        <f t="shared" si="58"/>
        <v/>
      </c>
      <c r="H819" t="str">
        <f t="shared" si="59"/>
        <v/>
      </c>
      <c r="I819" t="str">
        <f t="shared" si="60"/>
        <v/>
      </c>
      <c r="J819" t="str">
        <f t="shared" si="61"/>
        <v/>
      </c>
      <c r="K819" t="str">
        <f t="shared" si="62"/>
        <v/>
      </c>
    </row>
    <row r="820" spans="6:11">
      <c r="F820" t="str">
        <f>IF(B820="Egg Shop","",IF(J820="","",IFERROR(LOOKUP(2,1/(Purchases!$H$3:$H$2002=J820),Purchases!$F$3:$F$2002),"")))</f>
        <v/>
      </c>
      <c r="G820" t="str">
        <f t="shared" si="58"/>
        <v/>
      </c>
      <c r="H820" t="str">
        <f t="shared" si="59"/>
        <v/>
      </c>
      <c r="I820" t="str">
        <f t="shared" si="60"/>
        <v/>
      </c>
      <c r="J820" t="str">
        <f t="shared" si="61"/>
        <v/>
      </c>
      <c r="K820" t="str">
        <f t="shared" si="62"/>
        <v/>
      </c>
    </row>
    <row r="821" spans="6:11">
      <c r="F821" t="str">
        <f>IF(B821="Egg Shop","",IF(J821="","",IFERROR(LOOKUP(2,1/(Purchases!$H$3:$H$2002=J821),Purchases!$F$3:$F$2002),"")))</f>
        <v/>
      </c>
      <c r="G821" t="str">
        <f t="shared" si="58"/>
        <v/>
      </c>
      <c r="H821" t="str">
        <f t="shared" si="59"/>
        <v/>
      </c>
      <c r="I821" t="str">
        <f t="shared" si="60"/>
        <v/>
      </c>
      <c r="J821" t="str">
        <f t="shared" si="61"/>
        <v/>
      </c>
      <c r="K821" t="str">
        <f t="shared" si="62"/>
        <v/>
      </c>
    </row>
    <row r="822" spans="6:11">
      <c r="F822" t="str">
        <f>IF(B822="Egg Shop","",IF(J822="","",IFERROR(LOOKUP(2,1/(Purchases!$H$3:$H$2002=J822),Purchases!$F$3:$F$2002),"")))</f>
        <v/>
      </c>
      <c r="G822" t="str">
        <f t="shared" si="58"/>
        <v/>
      </c>
      <c r="H822" t="str">
        <f t="shared" si="59"/>
        <v/>
      </c>
      <c r="I822" t="str">
        <f t="shared" si="60"/>
        <v/>
      </c>
      <c r="J822" t="str">
        <f t="shared" si="61"/>
        <v/>
      </c>
      <c r="K822" t="str">
        <f t="shared" si="62"/>
        <v/>
      </c>
    </row>
    <row r="823" spans="6:11">
      <c r="F823" t="str">
        <f>IF(B823="Egg Shop","",IF(J823="","",IFERROR(LOOKUP(2,1/(Purchases!$H$3:$H$2002=J823),Purchases!$F$3:$F$2002),"")))</f>
        <v/>
      </c>
      <c r="G823" t="str">
        <f t="shared" si="58"/>
        <v/>
      </c>
      <c r="H823" t="str">
        <f t="shared" si="59"/>
        <v/>
      </c>
      <c r="I823" t="str">
        <f t="shared" si="60"/>
        <v/>
      </c>
      <c r="J823" t="str">
        <f t="shared" si="61"/>
        <v/>
      </c>
      <c r="K823" t="str">
        <f t="shared" si="62"/>
        <v/>
      </c>
    </row>
    <row r="824" spans="6:11">
      <c r="F824" t="str">
        <f>IF(B824="Egg Shop","",IF(J824="","",IFERROR(LOOKUP(2,1/(Purchases!$H$3:$H$2002=J824),Purchases!$F$3:$F$2002),"")))</f>
        <v/>
      </c>
      <c r="G824" t="str">
        <f t="shared" si="58"/>
        <v/>
      </c>
      <c r="H824" t="str">
        <f t="shared" si="59"/>
        <v/>
      </c>
      <c r="I824" t="str">
        <f t="shared" si="60"/>
        <v/>
      </c>
      <c r="J824" t="str">
        <f t="shared" si="61"/>
        <v/>
      </c>
      <c r="K824" t="str">
        <f t="shared" si="62"/>
        <v/>
      </c>
    </row>
    <row r="825" spans="6:11">
      <c r="F825" t="str">
        <f>IF(B825="Egg Shop","",IF(J825="","",IFERROR(LOOKUP(2,1/(Purchases!$H$3:$H$2002=J825),Purchases!$F$3:$F$2002),"")))</f>
        <v/>
      </c>
      <c r="G825" t="str">
        <f t="shared" si="58"/>
        <v/>
      </c>
      <c r="H825" t="str">
        <f t="shared" si="59"/>
        <v/>
      </c>
      <c r="I825" t="str">
        <f t="shared" si="60"/>
        <v/>
      </c>
      <c r="J825" t="str">
        <f t="shared" si="61"/>
        <v/>
      </c>
      <c r="K825" t="str">
        <f t="shared" si="62"/>
        <v/>
      </c>
    </row>
    <row r="826" spans="6:11">
      <c r="F826" t="str">
        <f>IF(B826="Egg Shop","",IF(J826="","",IFERROR(LOOKUP(2,1/(Purchases!$H$3:$H$2002=J826),Purchases!$F$3:$F$2002),"")))</f>
        <v/>
      </c>
      <c r="G826" t="str">
        <f t="shared" si="58"/>
        <v/>
      </c>
      <c r="H826" t="str">
        <f t="shared" si="59"/>
        <v/>
      </c>
      <c r="I826" t="str">
        <f t="shared" si="60"/>
        <v/>
      </c>
      <c r="J826" t="str">
        <f t="shared" si="61"/>
        <v/>
      </c>
      <c r="K826" t="str">
        <f t="shared" si="62"/>
        <v/>
      </c>
    </row>
    <row r="827" spans="6:11">
      <c r="F827" t="str">
        <f>IF(B827="Egg Shop","",IF(J827="","",IFERROR(LOOKUP(2,1/(Purchases!$H$3:$H$2002=J827),Purchases!$F$3:$F$2002),"")))</f>
        <v/>
      </c>
      <c r="G827" t="str">
        <f t="shared" si="58"/>
        <v/>
      </c>
      <c r="H827" t="str">
        <f t="shared" si="59"/>
        <v/>
      </c>
      <c r="I827" t="str">
        <f t="shared" si="60"/>
        <v/>
      </c>
      <c r="J827" t="str">
        <f t="shared" si="61"/>
        <v/>
      </c>
      <c r="K827" t="str">
        <f t="shared" si="62"/>
        <v/>
      </c>
    </row>
    <row r="828" spans="6:11">
      <c r="F828" t="str">
        <f>IF(B828="Egg Shop","",IF(J828="","",IFERROR(LOOKUP(2,1/(Purchases!$H$3:$H$2002=J828),Purchases!$F$3:$F$2002),"")))</f>
        <v/>
      </c>
      <c r="G828" t="str">
        <f t="shared" si="58"/>
        <v/>
      </c>
      <c r="H828" t="str">
        <f t="shared" si="59"/>
        <v/>
      </c>
      <c r="I828" t="str">
        <f t="shared" si="60"/>
        <v/>
      </c>
      <c r="J828" t="str">
        <f t="shared" si="61"/>
        <v/>
      </c>
      <c r="K828" t="str">
        <f t="shared" si="62"/>
        <v/>
      </c>
    </row>
    <row r="829" spans="6:11">
      <c r="F829" t="str">
        <f>IF(B829="Egg Shop","",IF(J829="","",IFERROR(LOOKUP(2,1/(Purchases!$H$3:$H$2002=J829),Purchases!$F$3:$F$2002),"")))</f>
        <v/>
      </c>
      <c r="G829" t="str">
        <f t="shared" si="58"/>
        <v/>
      </c>
      <c r="H829" t="str">
        <f t="shared" si="59"/>
        <v/>
      </c>
      <c r="I829" t="str">
        <f t="shared" si="60"/>
        <v/>
      </c>
      <c r="J829" t="str">
        <f t="shared" si="61"/>
        <v/>
      </c>
      <c r="K829" t="str">
        <f t="shared" si="62"/>
        <v/>
      </c>
    </row>
    <row r="830" spans="6:11">
      <c r="F830" t="str">
        <f>IF(B830="Egg Shop","",IF(J830="","",IFERROR(LOOKUP(2,1/(Purchases!$H$3:$H$2002=J830),Purchases!$F$3:$F$2002),"")))</f>
        <v/>
      </c>
      <c r="G830" t="str">
        <f t="shared" si="58"/>
        <v/>
      </c>
      <c r="H830" t="str">
        <f t="shared" si="59"/>
        <v/>
      </c>
      <c r="I830" t="str">
        <f t="shared" si="60"/>
        <v/>
      </c>
      <c r="J830" t="str">
        <f t="shared" si="61"/>
        <v/>
      </c>
      <c r="K830" t="str">
        <f t="shared" si="62"/>
        <v/>
      </c>
    </row>
    <row r="831" spans="6:11">
      <c r="F831" t="str">
        <f>IF(B831="Egg Shop","",IF(J831="","",IFERROR(LOOKUP(2,1/(Purchases!$H$3:$H$2002=J831),Purchases!$F$3:$F$2002),"")))</f>
        <v/>
      </c>
      <c r="G831" t="str">
        <f t="shared" si="58"/>
        <v/>
      </c>
      <c r="H831" t="str">
        <f t="shared" si="59"/>
        <v/>
      </c>
      <c r="I831" t="str">
        <f t="shared" si="60"/>
        <v/>
      </c>
      <c r="J831" t="str">
        <f t="shared" si="61"/>
        <v/>
      </c>
      <c r="K831" t="str">
        <f t="shared" si="62"/>
        <v/>
      </c>
    </row>
    <row r="832" spans="6:11">
      <c r="F832" t="str">
        <f>IF(B832="Egg Shop","",IF(J832="","",IFERROR(LOOKUP(2,1/(Purchases!$H$3:$H$2002=J832),Purchases!$F$3:$F$2002),"")))</f>
        <v/>
      </c>
      <c r="G832" t="str">
        <f t="shared" si="58"/>
        <v/>
      </c>
      <c r="H832" t="str">
        <f t="shared" si="59"/>
        <v/>
      </c>
      <c r="I832" t="str">
        <f t="shared" si="60"/>
        <v/>
      </c>
      <c r="J832" t="str">
        <f t="shared" si="61"/>
        <v/>
      </c>
      <c r="K832" t="str">
        <f t="shared" si="62"/>
        <v/>
      </c>
    </row>
    <row r="833" spans="6:11">
      <c r="F833" t="str">
        <f>IF(B833="Egg Shop","",IF(J833="","",IFERROR(LOOKUP(2,1/(Purchases!$H$3:$H$2002=J833),Purchases!$F$3:$F$2002),"")))</f>
        <v/>
      </c>
      <c r="G833" t="str">
        <f t="shared" si="58"/>
        <v/>
      </c>
      <c r="H833" t="str">
        <f t="shared" si="59"/>
        <v/>
      </c>
      <c r="I833" t="str">
        <f t="shared" si="60"/>
        <v/>
      </c>
      <c r="J833" t="str">
        <f t="shared" si="61"/>
        <v/>
      </c>
      <c r="K833" t="str">
        <f t="shared" si="62"/>
        <v/>
      </c>
    </row>
    <row r="834" spans="6:11">
      <c r="F834" t="str">
        <f>IF(B834="Egg Shop","",IF(J834="","",IFERROR(LOOKUP(2,1/(Purchases!$H$3:$H$2002=J834),Purchases!$F$3:$F$2002),"")))</f>
        <v/>
      </c>
      <c r="G834" t="str">
        <f t="shared" si="58"/>
        <v/>
      </c>
      <c r="H834" t="str">
        <f t="shared" si="59"/>
        <v/>
      </c>
      <c r="I834" t="str">
        <f t="shared" si="60"/>
        <v/>
      </c>
      <c r="J834" t="str">
        <f t="shared" si="61"/>
        <v/>
      </c>
      <c r="K834" t="str">
        <f t="shared" si="62"/>
        <v/>
      </c>
    </row>
    <row r="835" spans="6:11">
      <c r="F835" t="str">
        <f>IF(B835="Egg Shop","",IF(J835="","",IFERROR(LOOKUP(2,1/(Purchases!$H$3:$H$2002=J835),Purchases!$F$3:$F$2002),"")))</f>
        <v/>
      </c>
      <c r="G835" t="str">
        <f t="shared" ref="G835:G898" si="63">IF(OR(D835="",E835=""),"",D835*E835)</f>
        <v/>
      </c>
      <c r="H835" t="str">
        <f t="shared" ref="H835:H898" si="64">IF(OR(D835="",F835=""),"",D835*F835)</f>
        <v/>
      </c>
      <c r="I835" t="str">
        <f t="shared" ref="I835:I898" si="65">IF(OR(G835="",H835=""),"",G835-H835)</f>
        <v/>
      </c>
      <c r="J835" t="str">
        <f t="shared" ref="J835:J898" si="66">IF(OR(B835="",C835=""),"",B835&amp;"|"&amp;C835)</f>
        <v/>
      </c>
      <c r="K835" t="str">
        <f t="shared" si="62"/>
        <v/>
      </c>
    </row>
    <row r="836" spans="6:11">
      <c r="F836" t="str">
        <f>IF(B836="Egg Shop","",IF(J836="","",IFERROR(LOOKUP(2,1/(Purchases!$H$3:$H$2002=J836),Purchases!$F$3:$F$2002),"")))</f>
        <v/>
      </c>
      <c r="G836" t="str">
        <f t="shared" si="63"/>
        <v/>
      </c>
      <c r="H836" t="str">
        <f t="shared" si="64"/>
        <v/>
      </c>
      <c r="I836" t="str">
        <f t="shared" si="65"/>
        <v/>
      </c>
      <c r="J836" t="str">
        <f t="shared" si="66"/>
        <v/>
      </c>
      <c r="K836" t="str">
        <f t="shared" si="62"/>
        <v/>
      </c>
    </row>
    <row r="837" spans="6:11">
      <c r="F837" t="str">
        <f>IF(B837="Egg Shop","",IF(J837="","",IFERROR(LOOKUP(2,1/(Purchases!$H$3:$H$2002=J837),Purchases!$F$3:$F$2002),"")))</f>
        <v/>
      </c>
      <c r="G837" t="str">
        <f t="shared" si="63"/>
        <v/>
      </c>
      <c r="H837" t="str">
        <f t="shared" si="64"/>
        <v/>
      </c>
      <c r="I837" t="str">
        <f t="shared" si="65"/>
        <v/>
      </c>
      <c r="J837" t="str">
        <f t="shared" si="66"/>
        <v/>
      </c>
      <c r="K837" t="str">
        <f t="shared" si="62"/>
        <v/>
      </c>
    </row>
    <row r="838" spans="6:11">
      <c r="F838" t="str">
        <f>IF(B838="Egg Shop","",IF(J838="","",IFERROR(LOOKUP(2,1/(Purchases!$H$3:$H$2002=J838),Purchases!$F$3:$F$2002),"")))</f>
        <v/>
      </c>
      <c r="G838" t="str">
        <f t="shared" si="63"/>
        <v/>
      </c>
      <c r="H838" t="str">
        <f t="shared" si="64"/>
        <v/>
      </c>
      <c r="I838" t="str">
        <f t="shared" si="65"/>
        <v/>
      </c>
      <c r="J838" t="str">
        <f t="shared" si="66"/>
        <v/>
      </c>
      <c r="K838" t="str">
        <f t="shared" si="62"/>
        <v/>
      </c>
    </row>
    <row r="839" spans="6:11">
      <c r="F839" t="str">
        <f>IF(B839="Egg Shop","",IF(J839="","",IFERROR(LOOKUP(2,1/(Purchases!$H$3:$H$2002=J839),Purchases!$F$3:$F$2002),"")))</f>
        <v/>
      </c>
      <c r="G839" t="str">
        <f t="shared" si="63"/>
        <v/>
      </c>
      <c r="H839" t="str">
        <f t="shared" si="64"/>
        <v/>
      </c>
      <c r="I839" t="str">
        <f t="shared" si="65"/>
        <v/>
      </c>
      <c r="J839" t="str">
        <f t="shared" si="66"/>
        <v/>
      </c>
      <c r="K839" t="str">
        <f t="shared" si="62"/>
        <v/>
      </c>
    </row>
    <row r="840" spans="6:11">
      <c r="F840" t="str">
        <f>IF(B840="Egg Shop","",IF(J840="","",IFERROR(LOOKUP(2,1/(Purchases!$H$3:$H$2002=J840),Purchases!$F$3:$F$2002),"")))</f>
        <v/>
      </c>
      <c r="G840" t="str">
        <f t="shared" si="63"/>
        <v/>
      </c>
      <c r="H840" t="str">
        <f t="shared" si="64"/>
        <v/>
      </c>
      <c r="I840" t="str">
        <f t="shared" si="65"/>
        <v/>
      </c>
      <c r="J840" t="str">
        <f t="shared" si="66"/>
        <v/>
      </c>
      <c r="K840" t="str">
        <f t="shared" si="62"/>
        <v/>
      </c>
    </row>
    <row r="841" spans="6:11">
      <c r="F841" t="str">
        <f>IF(B841="Egg Shop","",IF(J841="","",IFERROR(LOOKUP(2,1/(Purchases!$H$3:$H$2002=J841),Purchases!$F$3:$F$2002),"")))</f>
        <v/>
      </c>
      <c r="G841" t="str">
        <f t="shared" si="63"/>
        <v/>
      </c>
      <c r="H841" t="str">
        <f t="shared" si="64"/>
        <v/>
      </c>
      <c r="I841" t="str">
        <f t="shared" si="65"/>
        <v/>
      </c>
      <c r="J841" t="str">
        <f t="shared" si="66"/>
        <v/>
      </c>
      <c r="K841" t="str">
        <f t="shared" si="62"/>
        <v/>
      </c>
    </row>
    <row r="842" spans="6:11">
      <c r="F842" t="str">
        <f>IF(B842="Egg Shop","",IF(J842="","",IFERROR(LOOKUP(2,1/(Purchases!$H$3:$H$2002=J842),Purchases!$F$3:$F$2002),"")))</f>
        <v/>
      </c>
      <c r="G842" t="str">
        <f t="shared" si="63"/>
        <v/>
      </c>
      <c r="H842" t="str">
        <f t="shared" si="64"/>
        <v/>
      </c>
      <c r="I842" t="str">
        <f t="shared" si="65"/>
        <v/>
      </c>
      <c r="J842" t="str">
        <f t="shared" si="66"/>
        <v/>
      </c>
      <c r="K842" t="str">
        <f t="shared" si="62"/>
        <v/>
      </c>
    </row>
    <row r="843" spans="6:11">
      <c r="F843" t="str">
        <f>IF(B843="Egg Shop","",IF(J843="","",IFERROR(LOOKUP(2,1/(Purchases!$H$3:$H$2002=J843),Purchases!$F$3:$F$2002),"")))</f>
        <v/>
      </c>
      <c r="G843" t="str">
        <f t="shared" si="63"/>
        <v/>
      </c>
      <c r="H843" t="str">
        <f t="shared" si="64"/>
        <v/>
      </c>
      <c r="I843" t="str">
        <f t="shared" si="65"/>
        <v/>
      </c>
      <c r="J843" t="str">
        <f t="shared" si="66"/>
        <v/>
      </c>
      <c r="K843" t="str">
        <f t="shared" si="62"/>
        <v/>
      </c>
    </row>
    <row r="844" spans="6:11">
      <c r="F844" t="str">
        <f>IF(B844="Egg Shop","",IF(J844="","",IFERROR(LOOKUP(2,1/(Purchases!$H$3:$H$2002=J844),Purchases!$F$3:$F$2002),"")))</f>
        <v/>
      </c>
      <c r="G844" t="str">
        <f t="shared" si="63"/>
        <v/>
      </c>
      <c r="H844" t="str">
        <f t="shared" si="64"/>
        <v/>
      </c>
      <c r="I844" t="str">
        <f t="shared" si="65"/>
        <v/>
      </c>
      <c r="J844" t="str">
        <f t="shared" si="66"/>
        <v/>
      </c>
      <c r="K844" t="str">
        <f t="shared" si="62"/>
        <v/>
      </c>
    </row>
    <row r="845" spans="6:11">
      <c r="F845" t="str">
        <f>IF(B845="Egg Shop","",IF(J845="","",IFERROR(LOOKUP(2,1/(Purchases!$H$3:$H$2002=J845),Purchases!$F$3:$F$2002),"")))</f>
        <v/>
      </c>
      <c r="G845" t="str">
        <f t="shared" si="63"/>
        <v/>
      </c>
      <c r="H845" t="str">
        <f t="shared" si="64"/>
        <v/>
      </c>
      <c r="I845" t="str">
        <f t="shared" si="65"/>
        <v/>
      </c>
      <c r="J845" t="str">
        <f t="shared" si="66"/>
        <v/>
      </c>
      <c r="K845" t="str">
        <f t="shared" si="62"/>
        <v/>
      </c>
    </row>
    <row r="846" spans="6:11">
      <c r="F846" t="str">
        <f>IF(B846="Egg Shop","",IF(J846="","",IFERROR(LOOKUP(2,1/(Purchases!$H$3:$H$2002=J846),Purchases!$F$3:$F$2002),"")))</f>
        <v/>
      </c>
      <c r="G846" t="str">
        <f t="shared" si="63"/>
        <v/>
      </c>
      <c r="H846" t="str">
        <f t="shared" si="64"/>
        <v/>
      </c>
      <c r="I846" t="str">
        <f t="shared" si="65"/>
        <v/>
      </c>
      <c r="J846" t="str">
        <f t="shared" si="66"/>
        <v/>
      </c>
      <c r="K846" t="str">
        <f t="shared" si="62"/>
        <v/>
      </c>
    </row>
    <row r="847" spans="6:11">
      <c r="F847" t="str">
        <f>IF(B847="Egg Shop","",IF(J847="","",IFERROR(LOOKUP(2,1/(Purchases!$H$3:$H$2002=J847),Purchases!$F$3:$F$2002),"")))</f>
        <v/>
      </c>
      <c r="G847" t="str">
        <f t="shared" si="63"/>
        <v/>
      </c>
      <c r="H847" t="str">
        <f t="shared" si="64"/>
        <v/>
      </c>
      <c r="I847" t="str">
        <f t="shared" si="65"/>
        <v/>
      </c>
      <c r="J847" t="str">
        <f t="shared" si="66"/>
        <v/>
      </c>
      <c r="K847" t="str">
        <f t="shared" si="62"/>
        <v/>
      </c>
    </row>
    <row r="848" spans="6:11">
      <c r="F848" t="str">
        <f>IF(B848="Egg Shop","",IF(J848="","",IFERROR(LOOKUP(2,1/(Purchases!$H$3:$H$2002=J848),Purchases!$F$3:$F$2002),"")))</f>
        <v/>
      </c>
      <c r="G848" t="str">
        <f t="shared" si="63"/>
        <v/>
      </c>
      <c r="H848" t="str">
        <f t="shared" si="64"/>
        <v/>
      </c>
      <c r="I848" t="str">
        <f t="shared" si="65"/>
        <v/>
      </c>
      <c r="J848" t="str">
        <f t="shared" si="66"/>
        <v/>
      </c>
      <c r="K848" t="str">
        <f t="shared" si="62"/>
        <v/>
      </c>
    </row>
    <row r="849" spans="6:11">
      <c r="F849" t="str">
        <f>IF(B849="Egg Shop","",IF(J849="","",IFERROR(LOOKUP(2,1/(Purchases!$H$3:$H$2002=J849),Purchases!$F$3:$F$2002),"")))</f>
        <v/>
      </c>
      <c r="G849" t="str">
        <f t="shared" si="63"/>
        <v/>
      </c>
      <c r="H849" t="str">
        <f t="shared" si="64"/>
        <v/>
      </c>
      <c r="I849" t="str">
        <f t="shared" si="65"/>
        <v/>
      </c>
      <c r="J849" t="str">
        <f t="shared" si="66"/>
        <v/>
      </c>
      <c r="K849" t="str">
        <f t="shared" si="62"/>
        <v/>
      </c>
    </row>
    <row r="850" spans="6:11">
      <c r="F850" t="str">
        <f>IF(B850="Egg Shop","",IF(J850="","",IFERROR(LOOKUP(2,1/(Purchases!$H$3:$H$2002=J850),Purchases!$F$3:$F$2002),"")))</f>
        <v/>
      </c>
      <c r="G850" t="str">
        <f t="shared" si="63"/>
        <v/>
      </c>
      <c r="H850" t="str">
        <f t="shared" si="64"/>
        <v/>
      </c>
      <c r="I850" t="str">
        <f t="shared" si="65"/>
        <v/>
      </c>
      <c r="J850" t="str">
        <f t="shared" si="66"/>
        <v/>
      </c>
      <c r="K850" t="str">
        <f t="shared" ref="K850:K913" si="67">IF(A850&lt;&gt;"","Cash","")</f>
        <v/>
      </c>
    </row>
    <row r="851" spans="6:11">
      <c r="F851" t="str">
        <f>IF(B851="Egg Shop","",IF(J851="","",IFERROR(LOOKUP(2,1/(Purchases!$H$3:$H$2002=J851),Purchases!$F$3:$F$2002),"")))</f>
        <v/>
      </c>
      <c r="G851" t="str">
        <f t="shared" si="63"/>
        <v/>
      </c>
      <c r="H851" t="str">
        <f t="shared" si="64"/>
        <v/>
      </c>
      <c r="I851" t="str">
        <f t="shared" si="65"/>
        <v/>
      </c>
      <c r="J851" t="str">
        <f t="shared" si="66"/>
        <v/>
      </c>
      <c r="K851" t="str">
        <f t="shared" si="67"/>
        <v/>
      </c>
    </row>
    <row r="852" spans="6:11">
      <c r="F852" t="str">
        <f>IF(B852="Egg Shop","",IF(J852="","",IFERROR(LOOKUP(2,1/(Purchases!$H$3:$H$2002=J852),Purchases!$F$3:$F$2002),"")))</f>
        <v/>
      </c>
      <c r="G852" t="str">
        <f t="shared" si="63"/>
        <v/>
      </c>
      <c r="H852" t="str">
        <f t="shared" si="64"/>
        <v/>
      </c>
      <c r="I852" t="str">
        <f t="shared" si="65"/>
        <v/>
      </c>
      <c r="J852" t="str">
        <f t="shared" si="66"/>
        <v/>
      </c>
      <c r="K852" t="str">
        <f t="shared" si="67"/>
        <v/>
      </c>
    </row>
    <row r="853" spans="6:11">
      <c r="F853" t="str">
        <f>IF(B853="Egg Shop","",IF(J853="","",IFERROR(LOOKUP(2,1/(Purchases!$H$3:$H$2002=J853),Purchases!$F$3:$F$2002),"")))</f>
        <v/>
      </c>
      <c r="G853" t="str">
        <f t="shared" si="63"/>
        <v/>
      </c>
      <c r="H853" t="str">
        <f t="shared" si="64"/>
        <v/>
      </c>
      <c r="I853" t="str">
        <f t="shared" si="65"/>
        <v/>
      </c>
      <c r="J853" t="str">
        <f t="shared" si="66"/>
        <v/>
      </c>
      <c r="K853" t="str">
        <f t="shared" si="67"/>
        <v/>
      </c>
    </row>
    <row r="854" spans="6:11">
      <c r="F854" t="str">
        <f>IF(B854="Egg Shop","",IF(J854="","",IFERROR(LOOKUP(2,1/(Purchases!$H$3:$H$2002=J854),Purchases!$F$3:$F$2002),"")))</f>
        <v/>
      </c>
      <c r="G854" t="str">
        <f t="shared" si="63"/>
        <v/>
      </c>
      <c r="H854" t="str">
        <f t="shared" si="64"/>
        <v/>
      </c>
      <c r="I854" t="str">
        <f t="shared" si="65"/>
        <v/>
      </c>
      <c r="J854" t="str">
        <f t="shared" si="66"/>
        <v/>
      </c>
      <c r="K854" t="str">
        <f t="shared" si="67"/>
        <v/>
      </c>
    </row>
    <row r="855" spans="6:11">
      <c r="F855" t="str">
        <f>IF(B855="Egg Shop","",IF(J855="","",IFERROR(LOOKUP(2,1/(Purchases!$H$3:$H$2002=J855),Purchases!$F$3:$F$2002),"")))</f>
        <v/>
      </c>
      <c r="G855" t="str">
        <f t="shared" si="63"/>
        <v/>
      </c>
      <c r="H855" t="str">
        <f t="shared" si="64"/>
        <v/>
      </c>
      <c r="I855" t="str">
        <f t="shared" si="65"/>
        <v/>
      </c>
      <c r="J855" t="str">
        <f t="shared" si="66"/>
        <v/>
      </c>
      <c r="K855" t="str">
        <f t="shared" si="67"/>
        <v/>
      </c>
    </row>
    <row r="856" spans="6:11">
      <c r="F856" t="str">
        <f>IF(B856="Egg Shop","",IF(J856="","",IFERROR(LOOKUP(2,1/(Purchases!$H$3:$H$2002=J856),Purchases!$F$3:$F$2002),"")))</f>
        <v/>
      </c>
      <c r="G856" t="str">
        <f t="shared" si="63"/>
        <v/>
      </c>
      <c r="H856" t="str">
        <f t="shared" si="64"/>
        <v/>
      </c>
      <c r="I856" t="str">
        <f t="shared" si="65"/>
        <v/>
      </c>
      <c r="J856" t="str">
        <f t="shared" si="66"/>
        <v/>
      </c>
      <c r="K856" t="str">
        <f t="shared" si="67"/>
        <v/>
      </c>
    </row>
    <row r="857" spans="6:11">
      <c r="F857" t="str">
        <f>IF(B857="Egg Shop","",IF(J857="","",IFERROR(LOOKUP(2,1/(Purchases!$H$3:$H$2002=J857),Purchases!$F$3:$F$2002),"")))</f>
        <v/>
      </c>
      <c r="G857" t="str">
        <f t="shared" si="63"/>
        <v/>
      </c>
      <c r="H857" t="str">
        <f t="shared" si="64"/>
        <v/>
      </c>
      <c r="I857" t="str">
        <f t="shared" si="65"/>
        <v/>
      </c>
      <c r="J857" t="str">
        <f t="shared" si="66"/>
        <v/>
      </c>
      <c r="K857" t="str">
        <f t="shared" si="67"/>
        <v/>
      </c>
    </row>
    <row r="858" spans="6:11">
      <c r="F858" t="str">
        <f>IF(B858="Egg Shop","",IF(J858="","",IFERROR(LOOKUP(2,1/(Purchases!$H$3:$H$2002=J858),Purchases!$F$3:$F$2002),"")))</f>
        <v/>
      </c>
      <c r="G858" t="str">
        <f t="shared" si="63"/>
        <v/>
      </c>
      <c r="H858" t="str">
        <f t="shared" si="64"/>
        <v/>
      </c>
      <c r="I858" t="str">
        <f t="shared" si="65"/>
        <v/>
      </c>
      <c r="J858" t="str">
        <f t="shared" si="66"/>
        <v/>
      </c>
      <c r="K858" t="str">
        <f t="shared" si="67"/>
        <v/>
      </c>
    </row>
    <row r="859" spans="6:11">
      <c r="F859" t="str">
        <f>IF(B859="Egg Shop","",IF(J859="","",IFERROR(LOOKUP(2,1/(Purchases!$H$3:$H$2002=J859),Purchases!$F$3:$F$2002),"")))</f>
        <v/>
      </c>
      <c r="G859" t="str">
        <f t="shared" si="63"/>
        <v/>
      </c>
      <c r="H859" t="str">
        <f t="shared" si="64"/>
        <v/>
      </c>
      <c r="I859" t="str">
        <f t="shared" si="65"/>
        <v/>
      </c>
      <c r="J859" t="str">
        <f t="shared" si="66"/>
        <v/>
      </c>
      <c r="K859" t="str">
        <f t="shared" si="67"/>
        <v/>
      </c>
    </row>
    <row r="860" spans="6:11">
      <c r="F860" t="str">
        <f>IF(B860="Egg Shop","",IF(J860="","",IFERROR(LOOKUP(2,1/(Purchases!$H$3:$H$2002=J860),Purchases!$F$3:$F$2002),"")))</f>
        <v/>
      </c>
      <c r="G860" t="str">
        <f t="shared" si="63"/>
        <v/>
      </c>
      <c r="H860" t="str">
        <f t="shared" si="64"/>
        <v/>
      </c>
      <c r="I860" t="str">
        <f t="shared" si="65"/>
        <v/>
      </c>
      <c r="J860" t="str">
        <f t="shared" si="66"/>
        <v/>
      </c>
      <c r="K860" t="str">
        <f t="shared" si="67"/>
        <v/>
      </c>
    </row>
    <row r="861" spans="6:11">
      <c r="F861" t="str">
        <f>IF(B861="Egg Shop","",IF(J861="","",IFERROR(LOOKUP(2,1/(Purchases!$H$3:$H$2002=J861),Purchases!$F$3:$F$2002),"")))</f>
        <v/>
      </c>
      <c r="G861" t="str">
        <f t="shared" si="63"/>
        <v/>
      </c>
      <c r="H861" t="str">
        <f t="shared" si="64"/>
        <v/>
      </c>
      <c r="I861" t="str">
        <f t="shared" si="65"/>
        <v/>
      </c>
      <c r="J861" t="str">
        <f t="shared" si="66"/>
        <v/>
      </c>
      <c r="K861" t="str">
        <f t="shared" si="67"/>
        <v/>
      </c>
    </row>
    <row r="862" spans="6:11">
      <c r="F862" t="str">
        <f>IF(B862="Egg Shop","",IF(J862="","",IFERROR(LOOKUP(2,1/(Purchases!$H$3:$H$2002=J862),Purchases!$F$3:$F$2002),"")))</f>
        <v/>
      </c>
      <c r="G862" t="str">
        <f t="shared" si="63"/>
        <v/>
      </c>
      <c r="H862" t="str">
        <f t="shared" si="64"/>
        <v/>
      </c>
      <c r="I862" t="str">
        <f t="shared" si="65"/>
        <v/>
      </c>
      <c r="J862" t="str">
        <f t="shared" si="66"/>
        <v/>
      </c>
      <c r="K862" t="str">
        <f t="shared" si="67"/>
        <v/>
      </c>
    </row>
    <row r="863" spans="6:11">
      <c r="F863" t="str">
        <f>IF(B863="Egg Shop","",IF(J863="","",IFERROR(LOOKUP(2,1/(Purchases!$H$3:$H$2002=J863),Purchases!$F$3:$F$2002),"")))</f>
        <v/>
      </c>
      <c r="G863" t="str">
        <f t="shared" si="63"/>
        <v/>
      </c>
      <c r="H863" t="str">
        <f t="shared" si="64"/>
        <v/>
      </c>
      <c r="I863" t="str">
        <f t="shared" si="65"/>
        <v/>
      </c>
      <c r="J863" t="str">
        <f t="shared" si="66"/>
        <v/>
      </c>
      <c r="K863" t="str">
        <f t="shared" si="67"/>
        <v/>
      </c>
    </row>
    <row r="864" spans="6:11">
      <c r="F864" t="str">
        <f>IF(B864="Egg Shop","",IF(J864="","",IFERROR(LOOKUP(2,1/(Purchases!$H$3:$H$2002=J864),Purchases!$F$3:$F$2002),"")))</f>
        <v/>
      </c>
      <c r="G864" t="str">
        <f t="shared" si="63"/>
        <v/>
      </c>
      <c r="H864" t="str">
        <f t="shared" si="64"/>
        <v/>
      </c>
      <c r="I864" t="str">
        <f t="shared" si="65"/>
        <v/>
      </c>
      <c r="J864" t="str">
        <f t="shared" si="66"/>
        <v/>
      </c>
      <c r="K864" t="str">
        <f t="shared" si="67"/>
        <v/>
      </c>
    </row>
    <row r="865" spans="6:11">
      <c r="F865" t="str">
        <f>IF(B865="Egg Shop","",IF(J865="","",IFERROR(LOOKUP(2,1/(Purchases!$H$3:$H$2002=J865),Purchases!$F$3:$F$2002),"")))</f>
        <v/>
      </c>
      <c r="G865" t="str">
        <f t="shared" si="63"/>
        <v/>
      </c>
      <c r="H865" t="str">
        <f t="shared" si="64"/>
        <v/>
      </c>
      <c r="I865" t="str">
        <f t="shared" si="65"/>
        <v/>
      </c>
      <c r="J865" t="str">
        <f t="shared" si="66"/>
        <v/>
      </c>
      <c r="K865" t="str">
        <f t="shared" si="67"/>
        <v/>
      </c>
    </row>
    <row r="866" spans="6:11">
      <c r="F866" t="str">
        <f>IF(B866="Egg Shop","",IF(J866="","",IFERROR(LOOKUP(2,1/(Purchases!$H$3:$H$2002=J866),Purchases!$F$3:$F$2002),"")))</f>
        <v/>
      </c>
      <c r="G866" t="str">
        <f t="shared" si="63"/>
        <v/>
      </c>
      <c r="H866" t="str">
        <f t="shared" si="64"/>
        <v/>
      </c>
      <c r="I866" t="str">
        <f t="shared" si="65"/>
        <v/>
      </c>
      <c r="J866" t="str">
        <f t="shared" si="66"/>
        <v/>
      </c>
      <c r="K866" t="str">
        <f t="shared" si="67"/>
        <v/>
      </c>
    </row>
    <row r="867" spans="6:11">
      <c r="F867" t="str">
        <f>IF(B867="Egg Shop","",IF(J867="","",IFERROR(LOOKUP(2,1/(Purchases!$H$3:$H$2002=J867),Purchases!$F$3:$F$2002),"")))</f>
        <v/>
      </c>
      <c r="G867" t="str">
        <f t="shared" si="63"/>
        <v/>
      </c>
      <c r="H867" t="str">
        <f t="shared" si="64"/>
        <v/>
      </c>
      <c r="I867" t="str">
        <f t="shared" si="65"/>
        <v/>
      </c>
      <c r="J867" t="str">
        <f t="shared" si="66"/>
        <v/>
      </c>
      <c r="K867" t="str">
        <f t="shared" si="67"/>
        <v/>
      </c>
    </row>
    <row r="868" spans="6:11">
      <c r="F868" t="str">
        <f>IF(B868="Egg Shop","",IF(J868="","",IFERROR(LOOKUP(2,1/(Purchases!$H$3:$H$2002=J868),Purchases!$F$3:$F$2002),"")))</f>
        <v/>
      </c>
      <c r="G868" t="str">
        <f t="shared" si="63"/>
        <v/>
      </c>
      <c r="H868" t="str">
        <f t="shared" si="64"/>
        <v/>
      </c>
      <c r="I868" t="str">
        <f t="shared" si="65"/>
        <v/>
      </c>
      <c r="J868" t="str">
        <f t="shared" si="66"/>
        <v/>
      </c>
      <c r="K868" t="str">
        <f t="shared" si="67"/>
        <v/>
      </c>
    </row>
    <row r="869" spans="6:11">
      <c r="F869" t="str">
        <f>IF(B869="Egg Shop","",IF(J869="","",IFERROR(LOOKUP(2,1/(Purchases!$H$3:$H$2002=J869),Purchases!$F$3:$F$2002),"")))</f>
        <v/>
      </c>
      <c r="G869" t="str">
        <f t="shared" si="63"/>
        <v/>
      </c>
      <c r="H869" t="str">
        <f t="shared" si="64"/>
        <v/>
      </c>
      <c r="I869" t="str">
        <f t="shared" si="65"/>
        <v/>
      </c>
      <c r="J869" t="str">
        <f t="shared" si="66"/>
        <v/>
      </c>
      <c r="K869" t="str">
        <f t="shared" si="67"/>
        <v/>
      </c>
    </row>
    <row r="870" spans="6:11">
      <c r="F870" t="str">
        <f>IF(B870="Egg Shop","",IF(J870="","",IFERROR(LOOKUP(2,1/(Purchases!$H$3:$H$2002=J870),Purchases!$F$3:$F$2002),"")))</f>
        <v/>
      </c>
      <c r="G870" t="str">
        <f t="shared" si="63"/>
        <v/>
      </c>
      <c r="H870" t="str">
        <f t="shared" si="64"/>
        <v/>
      </c>
      <c r="I870" t="str">
        <f t="shared" si="65"/>
        <v/>
      </c>
      <c r="J870" t="str">
        <f t="shared" si="66"/>
        <v/>
      </c>
      <c r="K870" t="str">
        <f t="shared" si="67"/>
        <v/>
      </c>
    </row>
    <row r="871" spans="6:11">
      <c r="F871" t="str">
        <f>IF(B871="Egg Shop","",IF(J871="","",IFERROR(LOOKUP(2,1/(Purchases!$H$3:$H$2002=J871),Purchases!$F$3:$F$2002),"")))</f>
        <v/>
      </c>
      <c r="G871" t="str">
        <f t="shared" si="63"/>
        <v/>
      </c>
      <c r="H871" t="str">
        <f t="shared" si="64"/>
        <v/>
      </c>
      <c r="I871" t="str">
        <f t="shared" si="65"/>
        <v/>
      </c>
      <c r="J871" t="str">
        <f t="shared" si="66"/>
        <v/>
      </c>
      <c r="K871" t="str">
        <f t="shared" si="67"/>
        <v/>
      </c>
    </row>
    <row r="872" spans="6:11">
      <c r="F872" t="str">
        <f>IF(B872="Egg Shop","",IF(J872="","",IFERROR(LOOKUP(2,1/(Purchases!$H$3:$H$2002=J872),Purchases!$F$3:$F$2002),"")))</f>
        <v/>
      </c>
      <c r="G872" t="str">
        <f t="shared" si="63"/>
        <v/>
      </c>
      <c r="H872" t="str">
        <f t="shared" si="64"/>
        <v/>
      </c>
      <c r="I872" t="str">
        <f t="shared" si="65"/>
        <v/>
      </c>
      <c r="J872" t="str">
        <f t="shared" si="66"/>
        <v/>
      </c>
      <c r="K872" t="str">
        <f t="shared" si="67"/>
        <v/>
      </c>
    </row>
    <row r="873" spans="6:11">
      <c r="F873" t="str">
        <f>IF(B873="Egg Shop","",IF(J873="","",IFERROR(LOOKUP(2,1/(Purchases!$H$3:$H$2002=J873),Purchases!$F$3:$F$2002),"")))</f>
        <v/>
      </c>
      <c r="G873" t="str">
        <f t="shared" si="63"/>
        <v/>
      </c>
      <c r="H873" t="str">
        <f t="shared" si="64"/>
        <v/>
      </c>
      <c r="I873" t="str">
        <f t="shared" si="65"/>
        <v/>
      </c>
      <c r="J873" t="str">
        <f t="shared" si="66"/>
        <v/>
      </c>
      <c r="K873" t="str">
        <f t="shared" si="67"/>
        <v/>
      </c>
    </row>
    <row r="874" spans="6:11">
      <c r="F874" t="str">
        <f>IF(B874="Egg Shop","",IF(J874="","",IFERROR(LOOKUP(2,1/(Purchases!$H$3:$H$2002=J874),Purchases!$F$3:$F$2002),"")))</f>
        <v/>
      </c>
      <c r="G874" t="str">
        <f t="shared" si="63"/>
        <v/>
      </c>
      <c r="H874" t="str">
        <f t="shared" si="64"/>
        <v/>
      </c>
      <c r="I874" t="str">
        <f t="shared" si="65"/>
        <v/>
      </c>
      <c r="J874" t="str">
        <f t="shared" si="66"/>
        <v/>
      </c>
      <c r="K874" t="str">
        <f t="shared" si="67"/>
        <v/>
      </c>
    </row>
    <row r="875" spans="6:11">
      <c r="F875" t="str">
        <f>IF(B875="Egg Shop","",IF(J875="","",IFERROR(LOOKUP(2,1/(Purchases!$H$3:$H$2002=J875),Purchases!$F$3:$F$2002),"")))</f>
        <v/>
      </c>
      <c r="G875" t="str">
        <f t="shared" si="63"/>
        <v/>
      </c>
      <c r="H875" t="str">
        <f t="shared" si="64"/>
        <v/>
      </c>
      <c r="I875" t="str">
        <f t="shared" si="65"/>
        <v/>
      </c>
      <c r="J875" t="str">
        <f t="shared" si="66"/>
        <v/>
      </c>
      <c r="K875" t="str">
        <f t="shared" si="67"/>
        <v/>
      </c>
    </row>
    <row r="876" spans="6:11">
      <c r="F876" t="str">
        <f>IF(B876="Egg Shop","",IF(J876="","",IFERROR(LOOKUP(2,1/(Purchases!$H$3:$H$2002=J876),Purchases!$F$3:$F$2002),"")))</f>
        <v/>
      </c>
      <c r="G876" t="str">
        <f t="shared" si="63"/>
        <v/>
      </c>
      <c r="H876" t="str">
        <f t="shared" si="64"/>
        <v/>
      </c>
      <c r="I876" t="str">
        <f t="shared" si="65"/>
        <v/>
      </c>
      <c r="J876" t="str">
        <f t="shared" si="66"/>
        <v/>
      </c>
      <c r="K876" t="str">
        <f t="shared" si="67"/>
        <v/>
      </c>
    </row>
    <row r="877" spans="6:11">
      <c r="F877" t="str">
        <f>IF(B877="Egg Shop","",IF(J877="","",IFERROR(LOOKUP(2,1/(Purchases!$H$3:$H$2002=J877),Purchases!$F$3:$F$2002),"")))</f>
        <v/>
      </c>
      <c r="G877" t="str">
        <f t="shared" si="63"/>
        <v/>
      </c>
      <c r="H877" t="str">
        <f t="shared" si="64"/>
        <v/>
      </c>
      <c r="I877" t="str">
        <f t="shared" si="65"/>
        <v/>
      </c>
      <c r="J877" t="str">
        <f t="shared" si="66"/>
        <v/>
      </c>
      <c r="K877" t="str">
        <f t="shared" si="67"/>
        <v/>
      </c>
    </row>
    <row r="878" spans="6:11">
      <c r="F878" t="str">
        <f>IF(B878="Egg Shop","",IF(J878="","",IFERROR(LOOKUP(2,1/(Purchases!$H$3:$H$2002=J878),Purchases!$F$3:$F$2002),"")))</f>
        <v/>
      </c>
      <c r="G878" t="str">
        <f t="shared" si="63"/>
        <v/>
      </c>
      <c r="H878" t="str">
        <f t="shared" si="64"/>
        <v/>
      </c>
      <c r="I878" t="str">
        <f t="shared" si="65"/>
        <v/>
      </c>
      <c r="J878" t="str">
        <f t="shared" si="66"/>
        <v/>
      </c>
      <c r="K878" t="str">
        <f t="shared" si="67"/>
        <v/>
      </c>
    </row>
    <row r="879" spans="6:11">
      <c r="F879" t="str">
        <f>IF(B879="Egg Shop","",IF(J879="","",IFERROR(LOOKUP(2,1/(Purchases!$H$3:$H$2002=J879),Purchases!$F$3:$F$2002),"")))</f>
        <v/>
      </c>
      <c r="G879" t="str">
        <f t="shared" si="63"/>
        <v/>
      </c>
      <c r="H879" t="str">
        <f t="shared" si="64"/>
        <v/>
      </c>
      <c r="I879" t="str">
        <f t="shared" si="65"/>
        <v/>
      </c>
      <c r="J879" t="str">
        <f t="shared" si="66"/>
        <v/>
      </c>
      <c r="K879" t="str">
        <f t="shared" si="67"/>
        <v/>
      </c>
    </row>
    <row r="880" spans="6:11">
      <c r="F880" t="str">
        <f>IF(B880="Egg Shop","",IF(J880="","",IFERROR(LOOKUP(2,1/(Purchases!$H$3:$H$2002=J880),Purchases!$F$3:$F$2002),"")))</f>
        <v/>
      </c>
      <c r="G880" t="str">
        <f t="shared" si="63"/>
        <v/>
      </c>
      <c r="H880" t="str">
        <f t="shared" si="64"/>
        <v/>
      </c>
      <c r="I880" t="str">
        <f t="shared" si="65"/>
        <v/>
      </c>
      <c r="J880" t="str">
        <f t="shared" si="66"/>
        <v/>
      </c>
      <c r="K880" t="str">
        <f t="shared" si="67"/>
        <v/>
      </c>
    </row>
    <row r="881" spans="6:11">
      <c r="F881" t="str">
        <f>IF(B881="Egg Shop","",IF(J881="","",IFERROR(LOOKUP(2,1/(Purchases!$H$3:$H$2002=J881),Purchases!$F$3:$F$2002),"")))</f>
        <v/>
      </c>
      <c r="G881" t="str">
        <f t="shared" si="63"/>
        <v/>
      </c>
      <c r="H881" t="str">
        <f t="shared" si="64"/>
        <v/>
      </c>
      <c r="I881" t="str">
        <f t="shared" si="65"/>
        <v/>
      </c>
      <c r="J881" t="str">
        <f t="shared" si="66"/>
        <v/>
      </c>
      <c r="K881" t="str">
        <f t="shared" si="67"/>
        <v/>
      </c>
    </row>
    <row r="882" spans="6:11">
      <c r="F882" t="str">
        <f>IF(B882="Egg Shop","",IF(J882="","",IFERROR(LOOKUP(2,1/(Purchases!$H$3:$H$2002=J882),Purchases!$F$3:$F$2002),"")))</f>
        <v/>
      </c>
      <c r="G882" t="str">
        <f t="shared" si="63"/>
        <v/>
      </c>
      <c r="H882" t="str">
        <f t="shared" si="64"/>
        <v/>
      </c>
      <c r="I882" t="str">
        <f t="shared" si="65"/>
        <v/>
      </c>
      <c r="J882" t="str">
        <f t="shared" si="66"/>
        <v/>
      </c>
      <c r="K882" t="str">
        <f t="shared" si="67"/>
        <v/>
      </c>
    </row>
    <row r="883" spans="6:11">
      <c r="F883" t="str">
        <f>IF(B883="Egg Shop","",IF(J883="","",IFERROR(LOOKUP(2,1/(Purchases!$H$3:$H$2002=J883),Purchases!$F$3:$F$2002),"")))</f>
        <v/>
      </c>
      <c r="G883" t="str">
        <f t="shared" si="63"/>
        <v/>
      </c>
      <c r="H883" t="str">
        <f t="shared" si="64"/>
        <v/>
      </c>
      <c r="I883" t="str">
        <f t="shared" si="65"/>
        <v/>
      </c>
      <c r="J883" t="str">
        <f t="shared" si="66"/>
        <v/>
      </c>
      <c r="K883" t="str">
        <f t="shared" si="67"/>
        <v/>
      </c>
    </row>
    <row r="884" spans="6:11">
      <c r="F884" t="str">
        <f>IF(B884="Egg Shop","",IF(J884="","",IFERROR(LOOKUP(2,1/(Purchases!$H$3:$H$2002=J884),Purchases!$F$3:$F$2002),"")))</f>
        <v/>
      </c>
      <c r="G884" t="str">
        <f t="shared" si="63"/>
        <v/>
      </c>
      <c r="H884" t="str">
        <f t="shared" si="64"/>
        <v/>
      </c>
      <c r="I884" t="str">
        <f t="shared" si="65"/>
        <v/>
      </c>
      <c r="J884" t="str">
        <f t="shared" si="66"/>
        <v/>
      </c>
      <c r="K884" t="str">
        <f t="shared" si="67"/>
        <v/>
      </c>
    </row>
    <row r="885" spans="6:11">
      <c r="F885" t="str">
        <f>IF(B885="Egg Shop","",IF(J885="","",IFERROR(LOOKUP(2,1/(Purchases!$H$3:$H$2002=J885),Purchases!$F$3:$F$2002),"")))</f>
        <v/>
      </c>
      <c r="G885" t="str">
        <f t="shared" si="63"/>
        <v/>
      </c>
      <c r="H885" t="str">
        <f t="shared" si="64"/>
        <v/>
      </c>
      <c r="I885" t="str">
        <f t="shared" si="65"/>
        <v/>
      </c>
      <c r="J885" t="str">
        <f t="shared" si="66"/>
        <v/>
      </c>
      <c r="K885" t="str">
        <f t="shared" si="67"/>
        <v/>
      </c>
    </row>
    <row r="886" spans="6:11">
      <c r="F886" t="str">
        <f>IF(B886="Egg Shop","",IF(J886="","",IFERROR(LOOKUP(2,1/(Purchases!$H$3:$H$2002=J886),Purchases!$F$3:$F$2002),"")))</f>
        <v/>
      </c>
      <c r="G886" t="str">
        <f t="shared" si="63"/>
        <v/>
      </c>
      <c r="H886" t="str">
        <f t="shared" si="64"/>
        <v/>
      </c>
      <c r="I886" t="str">
        <f t="shared" si="65"/>
        <v/>
      </c>
      <c r="J886" t="str">
        <f t="shared" si="66"/>
        <v/>
      </c>
      <c r="K886" t="str">
        <f t="shared" si="67"/>
        <v/>
      </c>
    </row>
    <row r="887" spans="6:11">
      <c r="F887" t="str">
        <f>IF(B887="Egg Shop","",IF(J887="","",IFERROR(LOOKUP(2,1/(Purchases!$H$3:$H$2002=J887),Purchases!$F$3:$F$2002),"")))</f>
        <v/>
      </c>
      <c r="G887" t="str">
        <f t="shared" si="63"/>
        <v/>
      </c>
      <c r="H887" t="str">
        <f t="shared" si="64"/>
        <v/>
      </c>
      <c r="I887" t="str">
        <f t="shared" si="65"/>
        <v/>
      </c>
      <c r="J887" t="str">
        <f t="shared" si="66"/>
        <v/>
      </c>
      <c r="K887" t="str">
        <f t="shared" si="67"/>
        <v/>
      </c>
    </row>
    <row r="888" spans="6:11">
      <c r="F888" t="str">
        <f>IF(B888="Egg Shop","",IF(J888="","",IFERROR(LOOKUP(2,1/(Purchases!$H$3:$H$2002=J888),Purchases!$F$3:$F$2002),"")))</f>
        <v/>
      </c>
      <c r="G888" t="str">
        <f t="shared" si="63"/>
        <v/>
      </c>
      <c r="H888" t="str">
        <f t="shared" si="64"/>
        <v/>
      </c>
      <c r="I888" t="str">
        <f t="shared" si="65"/>
        <v/>
      </c>
      <c r="J888" t="str">
        <f t="shared" si="66"/>
        <v/>
      </c>
      <c r="K888" t="str">
        <f t="shared" si="67"/>
        <v/>
      </c>
    </row>
    <row r="889" spans="6:11">
      <c r="F889" t="str">
        <f>IF(B889="Egg Shop","",IF(J889="","",IFERROR(LOOKUP(2,1/(Purchases!$H$3:$H$2002=J889),Purchases!$F$3:$F$2002),"")))</f>
        <v/>
      </c>
      <c r="G889" t="str">
        <f t="shared" si="63"/>
        <v/>
      </c>
      <c r="H889" t="str">
        <f t="shared" si="64"/>
        <v/>
      </c>
      <c r="I889" t="str">
        <f t="shared" si="65"/>
        <v/>
      </c>
      <c r="J889" t="str">
        <f t="shared" si="66"/>
        <v/>
      </c>
      <c r="K889" t="str">
        <f t="shared" si="67"/>
        <v/>
      </c>
    </row>
    <row r="890" spans="6:11">
      <c r="F890" t="str">
        <f>IF(B890="Egg Shop","",IF(J890="","",IFERROR(LOOKUP(2,1/(Purchases!$H$3:$H$2002=J890),Purchases!$F$3:$F$2002),"")))</f>
        <v/>
      </c>
      <c r="G890" t="str">
        <f t="shared" si="63"/>
        <v/>
      </c>
      <c r="H890" t="str">
        <f t="shared" si="64"/>
        <v/>
      </c>
      <c r="I890" t="str">
        <f t="shared" si="65"/>
        <v/>
      </c>
      <c r="J890" t="str">
        <f t="shared" si="66"/>
        <v/>
      </c>
      <c r="K890" t="str">
        <f t="shared" si="67"/>
        <v/>
      </c>
    </row>
    <row r="891" spans="6:11">
      <c r="F891" t="str">
        <f>IF(B891="Egg Shop","",IF(J891="","",IFERROR(LOOKUP(2,1/(Purchases!$H$3:$H$2002=J891),Purchases!$F$3:$F$2002),"")))</f>
        <v/>
      </c>
      <c r="G891" t="str">
        <f t="shared" si="63"/>
        <v/>
      </c>
      <c r="H891" t="str">
        <f t="shared" si="64"/>
        <v/>
      </c>
      <c r="I891" t="str">
        <f t="shared" si="65"/>
        <v/>
      </c>
      <c r="J891" t="str">
        <f t="shared" si="66"/>
        <v/>
      </c>
      <c r="K891" t="str">
        <f t="shared" si="67"/>
        <v/>
      </c>
    </row>
    <row r="892" spans="6:11">
      <c r="F892" t="str">
        <f>IF(B892="Egg Shop","",IF(J892="","",IFERROR(LOOKUP(2,1/(Purchases!$H$3:$H$2002=J892),Purchases!$F$3:$F$2002),"")))</f>
        <v/>
      </c>
      <c r="G892" t="str">
        <f t="shared" si="63"/>
        <v/>
      </c>
      <c r="H892" t="str">
        <f t="shared" si="64"/>
        <v/>
      </c>
      <c r="I892" t="str">
        <f t="shared" si="65"/>
        <v/>
      </c>
      <c r="J892" t="str">
        <f t="shared" si="66"/>
        <v/>
      </c>
      <c r="K892" t="str">
        <f t="shared" si="67"/>
        <v/>
      </c>
    </row>
    <row r="893" spans="6:11">
      <c r="F893" t="str">
        <f>IF(B893="Egg Shop","",IF(J893="","",IFERROR(LOOKUP(2,1/(Purchases!$H$3:$H$2002=J893),Purchases!$F$3:$F$2002),"")))</f>
        <v/>
      </c>
      <c r="G893" t="str">
        <f t="shared" si="63"/>
        <v/>
      </c>
      <c r="H893" t="str">
        <f t="shared" si="64"/>
        <v/>
      </c>
      <c r="I893" t="str">
        <f t="shared" si="65"/>
        <v/>
      </c>
      <c r="J893" t="str">
        <f t="shared" si="66"/>
        <v/>
      </c>
      <c r="K893" t="str">
        <f t="shared" si="67"/>
        <v/>
      </c>
    </row>
    <row r="894" spans="6:11">
      <c r="F894" t="str">
        <f>IF(B894="Egg Shop","",IF(J894="","",IFERROR(LOOKUP(2,1/(Purchases!$H$3:$H$2002=J894),Purchases!$F$3:$F$2002),"")))</f>
        <v/>
      </c>
      <c r="G894" t="str">
        <f t="shared" si="63"/>
        <v/>
      </c>
      <c r="H894" t="str">
        <f t="shared" si="64"/>
        <v/>
      </c>
      <c r="I894" t="str">
        <f t="shared" si="65"/>
        <v/>
      </c>
      <c r="J894" t="str">
        <f t="shared" si="66"/>
        <v/>
      </c>
      <c r="K894" t="str">
        <f t="shared" si="67"/>
        <v/>
      </c>
    </row>
    <row r="895" spans="6:11">
      <c r="F895" t="str">
        <f>IF(B895="Egg Shop","",IF(J895="","",IFERROR(LOOKUP(2,1/(Purchases!$H$3:$H$2002=J895),Purchases!$F$3:$F$2002),"")))</f>
        <v/>
      </c>
      <c r="G895" t="str">
        <f t="shared" si="63"/>
        <v/>
      </c>
      <c r="H895" t="str">
        <f t="shared" si="64"/>
        <v/>
      </c>
      <c r="I895" t="str">
        <f t="shared" si="65"/>
        <v/>
      </c>
      <c r="J895" t="str">
        <f t="shared" si="66"/>
        <v/>
      </c>
      <c r="K895" t="str">
        <f t="shared" si="67"/>
        <v/>
      </c>
    </row>
    <row r="896" spans="6:11">
      <c r="F896" t="str">
        <f>IF(B896="Egg Shop","",IF(J896="","",IFERROR(LOOKUP(2,1/(Purchases!$H$3:$H$2002=J896),Purchases!$F$3:$F$2002),"")))</f>
        <v/>
      </c>
      <c r="G896" t="str">
        <f t="shared" si="63"/>
        <v/>
      </c>
      <c r="H896" t="str">
        <f t="shared" si="64"/>
        <v/>
      </c>
      <c r="I896" t="str">
        <f t="shared" si="65"/>
        <v/>
      </c>
      <c r="J896" t="str">
        <f t="shared" si="66"/>
        <v/>
      </c>
      <c r="K896" t="str">
        <f t="shared" si="67"/>
        <v/>
      </c>
    </row>
    <row r="897" spans="6:11">
      <c r="F897" t="str">
        <f>IF(B897="Egg Shop","",IF(J897="","",IFERROR(LOOKUP(2,1/(Purchases!$H$3:$H$2002=J897),Purchases!$F$3:$F$2002),"")))</f>
        <v/>
      </c>
      <c r="G897" t="str">
        <f t="shared" si="63"/>
        <v/>
      </c>
      <c r="H897" t="str">
        <f t="shared" si="64"/>
        <v/>
      </c>
      <c r="I897" t="str">
        <f t="shared" si="65"/>
        <v/>
      </c>
      <c r="J897" t="str">
        <f t="shared" si="66"/>
        <v/>
      </c>
      <c r="K897" t="str">
        <f t="shared" si="67"/>
        <v/>
      </c>
    </row>
    <row r="898" spans="6:11">
      <c r="F898" t="str">
        <f>IF(B898="Egg Shop","",IF(J898="","",IFERROR(LOOKUP(2,1/(Purchases!$H$3:$H$2002=J898),Purchases!$F$3:$F$2002),"")))</f>
        <v/>
      </c>
      <c r="G898" t="str">
        <f t="shared" si="63"/>
        <v/>
      </c>
      <c r="H898" t="str">
        <f t="shared" si="64"/>
        <v/>
      </c>
      <c r="I898" t="str">
        <f t="shared" si="65"/>
        <v/>
      </c>
      <c r="J898" t="str">
        <f t="shared" si="66"/>
        <v/>
      </c>
      <c r="K898" t="str">
        <f t="shared" si="67"/>
        <v/>
      </c>
    </row>
    <row r="899" spans="6:11">
      <c r="F899" t="str">
        <f>IF(B899="Egg Shop","",IF(J899="","",IFERROR(LOOKUP(2,1/(Purchases!$H$3:$H$2002=J899),Purchases!$F$3:$F$2002),"")))</f>
        <v/>
      </c>
      <c r="G899" t="str">
        <f t="shared" ref="G899:G962" si="68">IF(OR(D899="",E899=""),"",D899*E899)</f>
        <v/>
      </c>
      <c r="H899" t="str">
        <f t="shared" ref="H899:H962" si="69">IF(OR(D899="",F899=""),"",D899*F899)</f>
        <v/>
      </c>
      <c r="I899" t="str">
        <f t="shared" ref="I899:I962" si="70">IF(OR(G899="",H899=""),"",G899-H899)</f>
        <v/>
      </c>
      <c r="J899" t="str">
        <f t="shared" ref="J899:J962" si="71">IF(OR(B899="",C899=""),"",B899&amp;"|"&amp;C899)</f>
        <v/>
      </c>
      <c r="K899" t="str">
        <f t="shared" si="67"/>
        <v/>
      </c>
    </row>
    <row r="900" spans="6:11">
      <c r="F900" t="str">
        <f>IF(B900="Egg Shop","",IF(J900="","",IFERROR(LOOKUP(2,1/(Purchases!$H$3:$H$2002=J900),Purchases!$F$3:$F$2002),"")))</f>
        <v/>
      </c>
      <c r="G900" t="str">
        <f t="shared" si="68"/>
        <v/>
      </c>
      <c r="H900" t="str">
        <f t="shared" si="69"/>
        <v/>
      </c>
      <c r="I900" t="str">
        <f t="shared" si="70"/>
        <v/>
      </c>
      <c r="J900" t="str">
        <f t="shared" si="71"/>
        <v/>
      </c>
      <c r="K900" t="str">
        <f t="shared" si="67"/>
        <v/>
      </c>
    </row>
    <row r="901" spans="6:11">
      <c r="F901" t="str">
        <f>IF(B901="Egg Shop","",IF(J901="","",IFERROR(LOOKUP(2,1/(Purchases!$H$3:$H$2002=J901),Purchases!$F$3:$F$2002),"")))</f>
        <v/>
      </c>
      <c r="G901" t="str">
        <f t="shared" si="68"/>
        <v/>
      </c>
      <c r="H901" t="str">
        <f t="shared" si="69"/>
        <v/>
      </c>
      <c r="I901" t="str">
        <f t="shared" si="70"/>
        <v/>
      </c>
      <c r="J901" t="str">
        <f t="shared" si="71"/>
        <v/>
      </c>
      <c r="K901" t="str">
        <f t="shared" si="67"/>
        <v/>
      </c>
    </row>
    <row r="902" spans="6:11">
      <c r="F902" t="str">
        <f>IF(B902="Egg Shop","",IF(J902="","",IFERROR(LOOKUP(2,1/(Purchases!$H$3:$H$2002=J902),Purchases!$F$3:$F$2002),"")))</f>
        <v/>
      </c>
      <c r="G902" t="str">
        <f t="shared" si="68"/>
        <v/>
      </c>
      <c r="H902" t="str">
        <f t="shared" si="69"/>
        <v/>
      </c>
      <c r="I902" t="str">
        <f t="shared" si="70"/>
        <v/>
      </c>
      <c r="J902" t="str">
        <f t="shared" si="71"/>
        <v/>
      </c>
      <c r="K902" t="str">
        <f t="shared" si="67"/>
        <v/>
      </c>
    </row>
    <row r="903" spans="6:11">
      <c r="F903" t="str">
        <f>IF(B903="Egg Shop","",IF(J903="","",IFERROR(LOOKUP(2,1/(Purchases!$H$3:$H$2002=J903),Purchases!$F$3:$F$2002),"")))</f>
        <v/>
      </c>
      <c r="G903" t="str">
        <f t="shared" si="68"/>
        <v/>
      </c>
      <c r="H903" t="str">
        <f t="shared" si="69"/>
        <v/>
      </c>
      <c r="I903" t="str">
        <f t="shared" si="70"/>
        <v/>
      </c>
      <c r="J903" t="str">
        <f t="shared" si="71"/>
        <v/>
      </c>
      <c r="K903" t="str">
        <f t="shared" si="67"/>
        <v/>
      </c>
    </row>
    <row r="904" spans="6:11">
      <c r="F904" t="str">
        <f>IF(B904="Egg Shop","",IF(J904="","",IFERROR(LOOKUP(2,1/(Purchases!$H$3:$H$2002=J904),Purchases!$F$3:$F$2002),"")))</f>
        <v/>
      </c>
      <c r="G904" t="str">
        <f t="shared" si="68"/>
        <v/>
      </c>
      <c r="H904" t="str">
        <f t="shared" si="69"/>
        <v/>
      </c>
      <c r="I904" t="str">
        <f t="shared" si="70"/>
        <v/>
      </c>
      <c r="J904" t="str">
        <f t="shared" si="71"/>
        <v/>
      </c>
      <c r="K904" t="str">
        <f t="shared" si="67"/>
        <v/>
      </c>
    </row>
    <row r="905" spans="6:11">
      <c r="F905" t="str">
        <f>IF(B905="Egg Shop","",IF(J905="","",IFERROR(LOOKUP(2,1/(Purchases!$H$3:$H$2002=J905),Purchases!$F$3:$F$2002),"")))</f>
        <v/>
      </c>
      <c r="G905" t="str">
        <f t="shared" si="68"/>
        <v/>
      </c>
      <c r="H905" t="str">
        <f t="shared" si="69"/>
        <v/>
      </c>
      <c r="I905" t="str">
        <f t="shared" si="70"/>
        <v/>
      </c>
      <c r="J905" t="str">
        <f t="shared" si="71"/>
        <v/>
      </c>
      <c r="K905" t="str">
        <f t="shared" si="67"/>
        <v/>
      </c>
    </row>
    <row r="906" spans="6:11">
      <c r="F906" t="str">
        <f>IF(B906="Egg Shop","",IF(J906="","",IFERROR(LOOKUP(2,1/(Purchases!$H$3:$H$2002=J906),Purchases!$F$3:$F$2002),"")))</f>
        <v/>
      </c>
      <c r="G906" t="str">
        <f t="shared" si="68"/>
        <v/>
      </c>
      <c r="H906" t="str">
        <f t="shared" si="69"/>
        <v/>
      </c>
      <c r="I906" t="str">
        <f t="shared" si="70"/>
        <v/>
      </c>
      <c r="J906" t="str">
        <f t="shared" si="71"/>
        <v/>
      </c>
      <c r="K906" t="str">
        <f t="shared" si="67"/>
        <v/>
      </c>
    </row>
    <row r="907" spans="6:11">
      <c r="F907" t="str">
        <f>IF(B907="Egg Shop","",IF(J907="","",IFERROR(LOOKUP(2,1/(Purchases!$H$3:$H$2002=J907),Purchases!$F$3:$F$2002),"")))</f>
        <v/>
      </c>
      <c r="G907" t="str">
        <f t="shared" si="68"/>
        <v/>
      </c>
      <c r="H907" t="str">
        <f t="shared" si="69"/>
        <v/>
      </c>
      <c r="I907" t="str">
        <f t="shared" si="70"/>
        <v/>
      </c>
      <c r="J907" t="str">
        <f t="shared" si="71"/>
        <v/>
      </c>
      <c r="K907" t="str">
        <f t="shared" si="67"/>
        <v/>
      </c>
    </row>
    <row r="908" spans="6:11">
      <c r="F908" t="str">
        <f>IF(B908="Egg Shop","",IF(J908="","",IFERROR(LOOKUP(2,1/(Purchases!$H$3:$H$2002=J908),Purchases!$F$3:$F$2002),"")))</f>
        <v/>
      </c>
      <c r="G908" t="str">
        <f t="shared" si="68"/>
        <v/>
      </c>
      <c r="H908" t="str">
        <f t="shared" si="69"/>
        <v/>
      </c>
      <c r="I908" t="str">
        <f t="shared" si="70"/>
        <v/>
      </c>
      <c r="J908" t="str">
        <f t="shared" si="71"/>
        <v/>
      </c>
      <c r="K908" t="str">
        <f t="shared" si="67"/>
        <v/>
      </c>
    </row>
    <row r="909" spans="6:11">
      <c r="F909" t="str">
        <f>IF(B909="Egg Shop","",IF(J909="","",IFERROR(LOOKUP(2,1/(Purchases!$H$3:$H$2002=J909),Purchases!$F$3:$F$2002),"")))</f>
        <v/>
      </c>
      <c r="G909" t="str">
        <f t="shared" si="68"/>
        <v/>
      </c>
      <c r="H909" t="str">
        <f t="shared" si="69"/>
        <v/>
      </c>
      <c r="I909" t="str">
        <f t="shared" si="70"/>
        <v/>
      </c>
      <c r="J909" t="str">
        <f t="shared" si="71"/>
        <v/>
      </c>
      <c r="K909" t="str">
        <f t="shared" si="67"/>
        <v/>
      </c>
    </row>
    <row r="910" spans="6:11">
      <c r="F910" t="str">
        <f>IF(B910="Egg Shop","",IF(J910="","",IFERROR(LOOKUP(2,1/(Purchases!$H$3:$H$2002=J910),Purchases!$F$3:$F$2002),"")))</f>
        <v/>
      </c>
      <c r="G910" t="str">
        <f t="shared" si="68"/>
        <v/>
      </c>
      <c r="H910" t="str">
        <f t="shared" si="69"/>
        <v/>
      </c>
      <c r="I910" t="str">
        <f t="shared" si="70"/>
        <v/>
      </c>
      <c r="J910" t="str">
        <f t="shared" si="71"/>
        <v/>
      </c>
      <c r="K910" t="str">
        <f t="shared" si="67"/>
        <v/>
      </c>
    </row>
    <row r="911" spans="6:11">
      <c r="F911" t="str">
        <f>IF(B911="Egg Shop","",IF(J911="","",IFERROR(LOOKUP(2,1/(Purchases!$H$3:$H$2002=J911),Purchases!$F$3:$F$2002),"")))</f>
        <v/>
      </c>
      <c r="G911" t="str">
        <f t="shared" si="68"/>
        <v/>
      </c>
      <c r="H911" t="str">
        <f t="shared" si="69"/>
        <v/>
      </c>
      <c r="I911" t="str">
        <f t="shared" si="70"/>
        <v/>
      </c>
      <c r="J911" t="str">
        <f t="shared" si="71"/>
        <v/>
      </c>
      <c r="K911" t="str">
        <f t="shared" si="67"/>
        <v/>
      </c>
    </row>
    <row r="912" spans="6:11">
      <c r="F912" t="str">
        <f>IF(B912="Egg Shop","",IF(J912="","",IFERROR(LOOKUP(2,1/(Purchases!$H$3:$H$2002=J912),Purchases!$F$3:$F$2002),"")))</f>
        <v/>
      </c>
      <c r="G912" t="str">
        <f t="shared" si="68"/>
        <v/>
      </c>
      <c r="H912" t="str">
        <f t="shared" si="69"/>
        <v/>
      </c>
      <c r="I912" t="str">
        <f t="shared" si="70"/>
        <v/>
      </c>
      <c r="J912" t="str">
        <f t="shared" si="71"/>
        <v/>
      </c>
      <c r="K912" t="str">
        <f t="shared" si="67"/>
        <v/>
      </c>
    </row>
    <row r="913" spans="6:11">
      <c r="F913" t="str">
        <f>IF(B913="Egg Shop","",IF(J913="","",IFERROR(LOOKUP(2,1/(Purchases!$H$3:$H$2002=J913),Purchases!$F$3:$F$2002),"")))</f>
        <v/>
      </c>
      <c r="G913" t="str">
        <f t="shared" si="68"/>
        <v/>
      </c>
      <c r="H913" t="str">
        <f t="shared" si="69"/>
        <v/>
      </c>
      <c r="I913" t="str">
        <f t="shared" si="70"/>
        <v/>
      </c>
      <c r="J913" t="str">
        <f t="shared" si="71"/>
        <v/>
      </c>
      <c r="K913" t="str">
        <f t="shared" si="67"/>
        <v/>
      </c>
    </row>
    <row r="914" spans="6:11">
      <c r="F914" t="str">
        <f>IF(B914="Egg Shop","",IF(J914="","",IFERROR(LOOKUP(2,1/(Purchases!$H$3:$H$2002=J914),Purchases!$F$3:$F$2002),"")))</f>
        <v/>
      </c>
      <c r="G914" t="str">
        <f t="shared" si="68"/>
        <v/>
      </c>
      <c r="H914" t="str">
        <f t="shared" si="69"/>
        <v/>
      </c>
      <c r="I914" t="str">
        <f t="shared" si="70"/>
        <v/>
      </c>
      <c r="J914" t="str">
        <f t="shared" si="71"/>
        <v/>
      </c>
      <c r="K914" t="str">
        <f t="shared" ref="K914:K977" si="72">IF(A914&lt;&gt;"","Cash","")</f>
        <v/>
      </c>
    </row>
    <row r="915" spans="6:11">
      <c r="F915" t="str">
        <f>IF(B915="Egg Shop","",IF(J915="","",IFERROR(LOOKUP(2,1/(Purchases!$H$3:$H$2002=J915),Purchases!$F$3:$F$2002),"")))</f>
        <v/>
      </c>
      <c r="G915" t="str">
        <f t="shared" si="68"/>
        <v/>
      </c>
      <c r="H915" t="str">
        <f t="shared" si="69"/>
        <v/>
      </c>
      <c r="I915" t="str">
        <f t="shared" si="70"/>
        <v/>
      </c>
      <c r="J915" t="str">
        <f t="shared" si="71"/>
        <v/>
      </c>
      <c r="K915" t="str">
        <f t="shared" si="72"/>
        <v/>
      </c>
    </row>
    <row r="916" spans="6:11">
      <c r="F916" t="str">
        <f>IF(B916="Egg Shop","",IF(J916="","",IFERROR(LOOKUP(2,1/(Purchases!$H$3:$H$2002=J916),Purchases!$F$3:$F$2002),"")))</f>
        <v/>
      </c>
      <c r="G916" t="str">
        <f t="shared" si="68"/>
        <v/>
      </c>
      <c r="H916" t="str">
        <f t="shared" si="69"/>
        <v/>
      </c>
      <c r="I916" t="str">
        <f t="shared" si="70"/>
        <v/>
      </c>
      <c r="J916" t="str">
        <f t="shared" si="71"/>
        <v/>
      </c>
      <c r="K916" t="str">
        <f t="shared" si="72"/>
        <v/>
      </c>
    </row>
    <row r="917" spans="6:11">
      <c r="F917" t="str">
        <f>IF(B917="Egg Shop","",IF(J917="","",IFERROR(LOOKUP(2,1/(Purchases!$H$3:$H$2002=J917),Purchases!$F$3:$F$2002),"")))</f>
        <v/>
      </c>
      <c r="G917" t="str">
        <f t="shared" si="68"/>
        <v/>
      </c>
      <c r="H917" t="str">
        <f t="shared" si="69"/>
        <v/>
      </c>
      <c r="I917" t="str">
        <f t="shared" si="70"/>
        <v/>
      </c>
      <c r="J917" t="str">
        <f t="shared" si="71"/>
        <v/>
      </c>
      <c r="K917" t="str">
        <f t="shared" si="72"/>
        <v/>
      </c>
    </row>
    <row r="918" spans="6:11">
      <c r="F918" t="str">
        <f>IF(B918="Egg Shop","",IF(J918="","",IFERROR(LOOKUP(2,1/(Purchases!$H$3:$H$2002=J918),Purchases!$F$3:$F$2002),"")))</f>
        <v/>
      </c>
      <c r="G918" t="str">
        <f t="shared" si="68"/>
        <v/>
      </c>
      <c r="H918" t="str">
        <f t="shared" si="69"/>
        <v/>
      </c>
      <c r="I918" t="str">
        <f t="shared" si="70"/>
        <v/>
      </c>
      <c r="J918" t="str">
        <f t="shared" si="71"/>
        <v/>
      </c>
      <c r="K918" t="str">
        <f t="shared" si="72"/>
        <v/>
      </c>
    </row>
    <row r="919" spans="6:11">
      <c r="F919" t="str">
        <f>IF(B919="Egg Shop","",IF(J919="","",IFERROR(LOOKUP(2,1/(Purchases!$H$3:$H$2002=J919),Purchases!$F$3:$F$2002),"")))</f>
        <v/>
      </c>
      <c r="G919" t="str">
        <f t="shared" si="68"/>
        <v/>
      </c>
      <c r="H919" t="str">
        <f t="shared" si="69"/>
        <v/>
      </c>
      <c r="I919" t="str">
        <f t="shared" si="70"/>
        <v/>
      </c>
      <c r="J919" t="str">
        <f t="shared" si="71"/>
        <v/>
      </c>
      <c r="K919" t="str">
        <f t="shared" si="72"/>
        <v/>
      </c>
    </row>
    <row r="920" spans="6:11">
      <c r="F920" t="str">
        <f>IF(B920="Egg Shop","",IF(J920="","",IFERROR(LOOKUP(2,1/(Purchases!$H$3:$H$2002=J920),Purchases!$F$3:$F$2002),"")))</f>
        <v/>
      </c>
      <c r="G920" t="str">
        <f t="shared" si="68"/>
        <v/>
      </c>
      <c r="H920" t="str">
        <f t="shared" si="69"/>
        <v/>
      </c>
      <c r="I920" t="str">
        <f t="shared" si="70"/>
        <v/>
      </c>
      <c r="J920" t="str">
        <f t="shared" si="71"/>
        <v/>
      </c>
      <c r="K920" t="str">
        <f t="shared" si="72"/>
        <v/>
      </c>
    </row>
    <row r="921" spans="6:11">
      <c r="F921" t="str">
        <f>IF(B921="Egg Shop","",IF(J921="","",IFERROR(LOOKUP(2,1/(Purchases!$H$3:$H$2002=J921),Purchases!$F$3:$F$2002),"")))</f>
        <v/>
      </c>
      <c r="G921" t="str">
        <f t="shared" si="68"/>
        <v/>
      </c>
      <c r="H921" t="str">
        <f t="shared" si="69"/>
        <v/>
      </c>
      <c r="I921" t="str">
        <f t="shared" si="70"/>
        <v/>
      </c>
      <c r="J921" t="str">
        <f t="shared" si="71"/>
        <v/>
      </c>
      <c r="K921" t="str">
        <f t="shared" si="72"/>
        <v/>
      </c>
    </row>
    <row r="922" spans="6:11">
      <c r="F922" t="str">
        <f>IF(B922="Egg Shop","",IF(J922="","",IFERROR(LOOKUP(2,1/(Purchases!$H$3:$H$2002=J922),Purchases!$F$3:$F$2002),"")))</f>
        <v/>
      </c>
      <c r="G922" t="str">
        <f t="shared" si="68"/>
        <v/>
      </c>
      <c r="H922" t="str">
        <f t="shared" si="69"/>
        <v/>
      </c>
      <c r="I922" t="str">
        <f t="shared" si="70"/>
        <v/>
      </c>
      <c r="J922" t="str">
        <f t="shared" si="71"/>
        <v/>
      </c>
      <c r="K922" t="str">
        <f t="shared" si="72"/>
        <v/>
      </c>
    </row>
    <row r="923" spans="6:11">
      <c r="F923" t="str">
        <f>IF(B923="Egg Shop","",IF(J923="","",IFERROR(LOOKUP(2,1/(Purchases!$H$3:$H$2002=J923),Purchases!$F$3:$F$2002),"")))</f>
        <v/>
      </c>
      <c r="G923" t="str">
        <f t="shared" si="68"/>
        <v/>
      </c>
      <c r="H923" t="str">
        <f t="shared" si="69"/>
        <v/>
      </c>
      <c r="I923" t="str">
        <f t="shared" si="70"/>
        <v/>
      </c>
      <c r="J923" t="str">
        <f t="shared" si="71"/>
        <v/>
      </c>
      <c r="K923" t="str">
        <f t="shared" si="72"/>
        <v/>
      </c>
    </row>
    <row r="924" spans="6:11">
      <c r="F924" t="str">
        <f>IF(B924="Egg Shop","",IF(J924="","",IFERROR(LOOKUP(2,1/(Purchases!$H$3:$H$2002=J924),Purchases!$F$3:$F$2002),"")))</f>
        <v/>
      </c>
      <c r="G924" t="str">
        <f t="shared" si="68"/>
        <v/>
      </c>
      <c r="H924" t="str">
        <f t="shared" si="69"/>
        <v/>
      </c>
      <c r="I924" t="str">
        <f t="shared" si="70"/>
        <v/>
      </c>
      <c r="J924" t="str">
        <f t="shared" si="71"/>
        <v/>
      </c>
      <c r="K924" t="str">
        <f t="shared" si="72"/>
        <v/>
      </c>
    </row>
    <row r="925" spans="6:11">
      <c r="F925" t="str">
        <f>IF(B925="Egg Shop","",IF(J925="","",IFERROR(LOOKUP(2,1/(Purchases!$H$3:$H$2002=J925),Purchases!$F$3:$F$2002),"")))</f>
        <v/>
      </c>
      <c r="G925" t="str">
        <f t="shared" si="68"/>
        <v/>
      </c>
      <c r="H925" t="str">
        <f t="shared" si="69"/>
        <v/>
      </c>
      <c r="I925" t="str">
        <f t="shared" si="70"/>
        <v/>
      </c>
      <c r="J925" t="str">
        <f t="shared" si="71"/>
        <v/>
      </c>
      <c r="K925" t="str">
        <f t="shared" si="72"/>
        <v/>
      </c>
    </row>
    <row r="926" spans="6:11">
      <c r="F926" t="str">
        <f>IF(B926="Egg Shop","",IF(J926="","",IFERROR(LOOKUP(2,1/(Purchases!$H$3:$H$2002=J926),Purchases!$F$3:$F$2002),"")))</f>
        <v/>
      </c>
      <c r="G926" t="str">
        <f t="shared" si="68"/>
        <v/>
      </c>
      <c r="H926" t="str">
        <f t="shared" si="69"/>
        <v/>
      </c>
      <c r="I926" t="str">
        <f t="shared" si="70"/>
        <v/>
      </c>
      <c r="J926" t="str">
        <f t="shared" si="71"/>
        <v/>
      </c>
      <c r="K926" t="str">
        <f t="shared" si="72"/>
        <v/>
      </c>
    </row>
    <row r="927" spans="6:11">
      <c r="F927" t="str">
        <f>IF(B927="Egg Shop","",IF(J927="","",IFERROR(LOOKUP(2,1/(Purchases!$H$3:$H$2002=J927),Purchases!$F$3:$F$2002),"")))</f>
        <v/>
      </c>
      <c r="G927" t="str">
        <f t="shared" si="68"/>
        <v/>
      </c>
      <c r="H927" t="str">
        <f t="shared" si="69"/>
        <v/>
      </c>
      <c r="I927" t="str">
        <f t="shared" si="70"/>
        <v/>
      </c>
      <c r="J927" t="str">
        <f t="shared" si="71"/>
        <v/>
      </c>
      <c r="K927" t="str">
        <f t="shared" si="72"/>
        <v/>
      </c>
    </row>
    <row r="928" spans="6:11">
      <c r="F928" t="str">
        <f>IF(B928="Egg Shop","",IF(J928="","",IFERROR(LOOKUP(2,1/(Purchases!$H$3:$H$2002=J928),Purchases!$F$3:$F$2002),"")))</f>
        <v/>
      </c>
      <c r="G928" t="str">
        <f t="shared" si="68"/>
        <v/>
      </c>
      <c r="H928" t="str">
        <f t="shared" si="69"/>
        <v/>
      </c>
      <c r="I928" t="str">
        <f t="shared" si="70"/>
        <v/>
      </c>
      <c r="J928" t="str">
        <f t="shared" si="71"/>
        <v/>
      </c>
      <c r="K928" t="str">
        <f t="shared" si="72"/>
        <v/>
      </c>
    </row>
    <row r="929" spans="6:11">
      <c r="F929" t="str">
        <f>IF(B929="Egg Shop","",IF(J929="","",IFERROR(LOOKUP(2,1/(Purchases!$H$3:$H$2002=J929),Purchases!$F$3:$F$2002),"")))</f>
        <v/>
      </c>
      <c r="G929" t="str">
        <f t="shared" si="68"/>
        <v/>
      </c>
      <c r="H929" t="str">
        <f t="shared" si="69"/>
        <v/>
      </c>
      <c r="I929" t="str">
        <f t="shared" si="70"/>
        <v/>
      </c>
      <c r="J929" t="str">
        <f t="shared" si="71"/>
        <v/>
      </c>
      <c r="K929" t="str">
        <f t="shared" si="72"/>
        <v/>
      </c>
    </row>
    <row r="930" spans="6:11">
      <c r="F930" t="str">
        <f>IF(B930="Egg Shop","",IF(J930="","",IFERROR(LOOKUP(2,1/(Purchases!$H$3:$H$2002=J930),Purchases!$F$3:$F$2002),"")))</f>
        <v/>
      </c>
      <c r="G930" t="str">
        <f t="shared" si="68"/>
        <v/>
      </c>
      <c r="H930" t="str">
        <f t="shared" si="69"/>
        <v/>
      </c>
      <c r="I930" t="str">
        <f t="shared" si="70"/>
        <v/>
      </c>
      <c r="J930" t="str">
        <f t="shared" si="71"/>
        <v/>
      </c>
      <c r="K930" t="str">
        <f t="shared" si="72"/>
        <v/>
      </c>
    </row>
    <row r="931" spans="6:11">
      <c r="F931" t="str">
        <f>IF(B931="Egg Shop","",IF(J931="","",IFERROR(LOOKUP(2,1/(Purchases!$H$3:$H$2002=J931),Purchases!$F$3:$F$2002),"")))</f>
        <v/>
      </c>
      <c r="G931" t="str">
        <f t="shared" si="68"/>
        <v/>
      </c>
      <c r="H931" t="str">
        <f t="shared" si="69"/>
        <v/>
      </c>
      <c r="I931" t="str">
        <f t="shared" si="70"/>
        <v/>
      </c>
      <c r="J931" t="str">
        <f t="shared" si="71"/>
        <v/>
      </c>
      <c r="K931" t="str">
        <f t="shared" si="72"/>
        <v/>
      </c>
    </row>
    <row r="932" spans="6:11">
      <c r="F932" t="str">
        <f>IF(B932="Egg Shop","",IF(J932="","",IFERROR(LOOKUP(2,1/(Purchases!$H$3:$H$2002=J932),Purchases!$F$3:$F$2002),"")))</f>
        <v/>
      </c>
      <c r="G932" t="str">
        <f t="shared" si="68"/>
        <v/>
      </c>
      <c r="H932" t="str">
        <f t="shared" si="69"/>
        <v/>
      </c>
      <c r="I932" t="str">
        <f t="shared" si="70"/>
        <v/>
      </c>
      <c r="J932" t="str">
        <f t="shared" si="71"/>
        <v/>
      </c>
      <c r="K932" t="str">
        <f t="shared" si="72"/>
        <v/>
      </c>
    </row>
    <row r="933" spans="6:11">
      <c r="F933" t="str">
        <f>IF(B933="Egg Shop","",IF(J933="","",IFERROR(LOOKUP(2,1/(Purchases!$H$3:$H$2002=J933),Purchases!$F$3:$F$2002),"")))</f>
        <v/>
      </c>
      <c r="G933" t="str">
        <f t="shared" si="68"/>
        <v/>
      </c>
      <c r="H933" t="str">
        <f t="shared" si="69"/>
        <v/>
      </c>
      <c r="I933" t="str">
        <f t="shared" si="70"/>
        <v/>
      </c>
      <c r="J933" t="str">
        <f t="shared" si="71"/>
        <v/>
      </c>
      <c r="K933" t="str">
        <f t="shared" si="72"/>
        <v/>
      </c>
    </row>
    <row r="934" spans="6:11">
      <c r="F934" t="str">
        <f>IF(B934="Egg Shop","",IF(J934="","",IFERROR(LOOKUP(2,1/(Purchases!$H$3:$H$2002=J934),Purchases!$F$3:$F$2002),"")))</f>
        <v/>
      </c>
      <c r="G934" t="str">
        <f t="shared" si="68"/>
        <v/>
      </c>
      <c r="H934" t="str">
        <f t="shared" si="69"/>
        <v/>
      </c>
      <c r="I934" t="str">
        <f t="shared" si="70"/>
        <v/>
      </c>
      <c r="J934" t="str">
        <f t="shared" si="71"/>
        <v/>
      </c>
      <c r="K934" t="str">
        <f t="shared" si="72"/>
        <v/>
      </c>
    </row>
    <row r="935" spans="6:11">
      <c r="F935" t="str">
        <f>IF(B935="Egg Shop","",IF(J935="","",IFERROR(LOOKUP(2,1/(Purchases!$H$3:$H$2002=J935),Purchases!$F$3:$F$2002),"")))</f>
        <v/>
      </c>
      <c r="G935" t="str">
        <f t="shared" si="68"/>
        <v/>
      </c>
      <c r="H935" t="str">
        <f t="shared" si="69"/>
        <v/>
      </c>
      <c r="I935" t="str">
        <f t="shared" si="70"/>
        <v/>
      </c>
      <c r="J935" t="str">
        <f t="shared" si="71"/>
        <v/>
      </c>
      <c r="K935" t="str">
        <f t="shared" si="72"/>
        <v/>
      </c>
    </row>
    <row r="936" spans="6:11">
      <c r="F936" t="str">
        <f>IF(B936="Egg Shop","",IF(J936="","",IFERROR(LOOKUP(2,1/(Purchases!$H$3:$H$2002=J936),Purchases!$F$3:$F$2002),"")))</f>
        <v/>
      </c>
      <c r="G936" t="str">
        <f t="shared" si="68"/>
        <v/>
      </c>
      <c r="H936" t="str">
        <f t="shared" si="69"/>
        <v/>
      </c>
      <c r="I936" t="str">
        <f t="shared" si="70"/>
        <v/>
      </c>
      <c r="J936" t="str">
        <f t="shared" si="71"/>
        <v/>
      </c>
      <c r="K936" t="str">
        <f t="shared" si="72"/>
        <v/>
      </c>
    </row>
    <row r="937" spans="6:11">
      <c r="F937" t="str">
        <f>IF(B937="Egg Shop","",IF(J937="","",IFERROR(LOOKUP(2,1/(Purchases!$H$3:$H$2002=J937),Purchases!$F$3:$F$2002),"")))</f>
        <v/>
      </c>
      <c r="G937" t="str">
        <f t="shared" si="68"/>
        <v/>
      </c>
      <c r="H937" t="str">
        <f t="shared" si="69"/>
        <v/>
      </c>
      <c r="I937" t="str">
        <f t="shared" si="70"/>
        <v/>
      </c>
      <c r="J937" t="str">
        <f t="shared" si="71"/>
        <v/>
      </c>
      <c r="K937" t="str">
        <f t="shared" si="72"/>
        <v/>
      </c>
    </row>
    <row r="938" spans="6:11">
      <c r="F938" t="str">
        <f>IF(B938="Egg Shop","",IF(J938="","",IFERROR(LOOKUP(2,1/(Purchases!$H$3:$H$2002=J938),Purchases!$F$3:$F$2002),"")))</f>
        <v/>
      </c>
      <c r="G938" t="str">
        <f t="shared" si="68"/>
        <v/>
      </c>
      <c r="H938" t="str">
        <f t="shared" si="69"/>
        <v/>
      </c>
      <c r="I938" t="str">
        <f t="shared" si="70"/>
        <v/>
      </c>
      <c r="J938" t="str">
        <f t="shared" si="71"/>
        <v/>
      </c>
      <c r="K938" t="str">
        <f t="shared" si="72"/>
        <v/>
      </c>
    </row>
    <row r="939" spans="6:11">
      <c r="F939" t="str">
        <f>IF(B939="Egg Shop","",IF(J939="","",IFERROR(LOOKUP(2,1/(Purchases!$H$3:$H$2002=J939),Purchases!$F$3:$F$2002),"")))</f>
        <v/>
      </c>
      <c r="G939" t="str">
        <f t="shared" si="68"/>
        <v/>
      </c>
      <c r="H939" t="str">
        <f t="shared" si="69"/>
        <v/>
      </c>
      <c r="I939" t="str">
        <f t="shared" si="70"/>
        <v/>
      </c>
      <c r="J939" t="str">
        <f t="shared" si="71"/>
        <v/>
      </c>
      <c r="K939" t="str">
        <f t="shared" si="72"/>
        <v/>
      </c>
    </row>
    <row r="940" spans="6:11">
      <c r="F940" t="str">
        <f>IF(B940="Egg Shop","",IF(J940="","",IFERROR(LOOKUP(2,1/(Purchases!$H$3:$H$2002=J940),Purchases!$F$3:$F$2002),"")))</f>
        <v/>
      </c>
      <c r="G940" t="str">
        <f t="shared" si="68"/>
        <v/>
      </c>
      <c r="H940" t="str">
        <f t="shared" si="69"/>
        <v/>
      </c>
      <c r="I940" t="str">
        <f t="shared" si="70"/>
        <v/>
      </c>
      <c r="J940" t="str">
        <f t="shared" si="71"/>
        <v/>
      </c>
      <c r="K940" t="str">
        <f t="shared" si="72"/>
        <v/>
      </c>
    </row>
    <row r="941" spans="6:11">
      <c r="F941" t="str">
        <f>IF(B941="Egg Shop","",IF(J941="","",IFERROR(LOOKUP(2,1/(Purchases!$H$3:$H$2002=J941),Purchases!$F$3:$F$2002),"")))</f>
        <v/>
      </c>
      <c r="G941" t="str">
        <f t="shared" si="68"/>
        <v/>
      </c>
      <c r="H941" t="str">
        <f t="shared" si="69"/>
        <v/>
      </c>
      <c r="I941" t="str">
        <f t="shared" si="70"/>
        <v/>
      </c>
      <c r="J941" t="str">
        <f t="shared" si="71"/>
        <v/>
      </c>
      <c r="K941" t="str">
        <f t="shared" si="72"/>
        <v/>
      </c>
    </row>
    <row r="942" spans="6:11">
      <c r="F942" t="str">
        <f>IF(B942="Egg Shop","",IF(J942="","",IFERROR(LOOKUP(2,1/(Purchases!$H$3:$H$2002=J942),Purchases!$F$3:$F$2002),"")))</f>
        <v/>
      </c>
      <c r="G942" t="str">
        <f t="shared" si="68"/>
        <v/>
      </c>
      <c r="H942" t="str">
        <f t="shared" si="69"/>
        <v/>
      </c>
      <c r="I942" t="str">
        <f t="shared" si="70"/>
        <v/>
      </c>
      <c r="J942" t="str">
        <f t="shared" si="71"/>
        <v/>
      </c>
      <c r="K942" t="str">
        <f t="shared" si="72"/>
        <v/>
      </c>
    </row>
    <row r="943" spans="6:11">
      <c r="F943" t="str">
        <f>IF(B943="Egg Shop","",IF(J943="","",IFERROR(LOOKUP(2,1/(Purchases!$H$3:$H$2002=J943),Purchases!$F$3:$F$2002),"")))</f>
        <v/>
      </c>
      <c r="G943" t="str">
        <f t="shared" si="68"/>
        <v/>
      </c>
      <c r="H943" t="str">
        <f t="shared" si="69"/>
        <v/>
      </c>
      <c r="I943" t="str">
        <f t="shared" si="70"/>
        <v/>
      </c>
      <c r="J943" t="str">
        <f t="shared" si="71"/>
        <v/>
      </c>
      <c r="K943" t="str">
        <f t="shared" si="72"/>
        <v/>
      </c>
    </row>
    <row r="944" spans="6:11">
      <c r="F944" t="str">
        <f>IF(B944="Egg Shop","",IF(J944="","",IFERROR(LOOKUP(2,1/(Purchases!$H$3:$H$2002=J944),Purchases!$F$3:$F$2002),"")))</f>
        <v/>
      </c>
      <c r="G944" t="str">
        <f t="shared" si="68"/>
        <v/>
      </c>
      <c r="H944" t="str">
        <f t="shared" si="69"/>
        <v/>
      </c>
      <c r="I944" t="str">
        <f t="shared" si="70"/>
        <v/>
      </c>
      <c r="J944" t="str">
        <f t="shared" si="71"/>
        <v/>
      </c>
      <c r="K944" t="str">
        <f t="shared" si="72"/>
        <v/>
      </c>
    </row>
    <row r="945" spans="6:11">
      <c r="F945" t="str">
        <f>IF(B945="Egg Shop","",IF(J945="","",IFERROR(LOOKUP(2,1/(Purchases!$H$3:$H$2002=J945),Purchases!$F$3:$F$2002),"")))</f>
        <v/>
      </c>
      <c r="G945" t="str">
        <f t="shared" si="68"/>
        <v/>
      </c>
      <c r="H945" t="str">
        <f t="shared" si="69"/>
        <v/>
      </c>
      <c r="I945" t="str">
        <f t="shared" si="70"/>
        <v/>
      </c>
      <c r="J945" t="str">
        <f t="shared" si="71"/>
        <v/>
      </c>
      <c r="K945" t="str">
        <f t="shared" si="72"/>
        <v/>
      </c>
    </row>
    <row r="946" spans="6:11">
      <c r="F946" t="str">
        <f>IF(B946="Egg Shop","",IF(J946="","",IFERROR(LOOKUP(2,1/(Purchases!$H$3:$H$2002=J946),Purchases!$F$3:$F$2002),"")))</f>
        <v/>
      </c>
      <c r="G946" t="str">
        <f t="shared" si="68"/>
        <v/>
      </c>
      <c r="H946" t="str">
        <f t="shared" si="69"/>
        <v/>
      </c>
      <c r="I946" t="str">
        <f t="shared" si="70"/>
        <v/>
      </c>
      <c r="J946" t="str">
        <f t="shared" si="71"/>
        <v/>
      </c>
      <c r="K946" t="str">
        <f t="shared" si="72"/>
        <v/>
      </c>
    </row>
    <row r="947" spans="6:11">
      <c r="F947" t="str">
        <f>IF(B947="Egg Shop","",IF(J947="","",IFERROR(LOOKUP(2,1/(Purchases!$H$3:$H$2002=J947),Purchases!$F$3:$F$2002),"")))</f>
        <v/>
      </c>
      <c r="G947" t="str">
        <f t="shared" si="68"/>
        <v/>
      </c>
      <c r="H947" t="str">
        <f t="shared" si="69"/>
        <v/>
      </c>
      <c r="I947" t="str">
        <f t="shared" si="70"/>
        <v/>
      </c>
      <c r="J947" t="str">
        <f t="shared" si="71"/>
        <v/>
      </c>
      <c r="K947" t="str">
        <f t="shared" si="72"/>
        <v/>
      </c>
    </row>
    <row r="948" spans="6:11">
      <c r="F948" t="str">
        <f>IF(B948="Egg Shop","",IF(J948="","",IFERROR(LOOKUP(2,1/(Purchases!$H$3:$H$2002=J948),Purchases!$F$3:$F$2002),"")))</f>
        <v/>
      </c>
      <c r="G948" t="str">
        <f t="shared" si="68"/>
        <v/>
      </c>
      <c r="H948" t="str">
        <f t="shared" si="69"/>
        <v/>
      </c>
      <c r="I948" t="str">
        <f t="shared" si="70"/>
        <v/>
      </c>
      <c r="J948" t="str">
        <f t="shared" si="71"/>
        <v/>
      </c>
      <c r="K948" t="str">
        <f t="shared" si="72"/>
        <v/>
      </c>
    </row>
    <row r="949" spans="6:11">
      <c r="F949" t="str">
        <f>IF(B949="Egg Shop","",IF(J949="","",IFERROR(LOOKUP(2,1/(Purchases!$H$3:$H$2002=J949),Purchases!$F$3:$F$2002),"")))</f>
        <v/>
      </c>
      <c r="G949" t="str">
        <f t="shared" si="68"/>
        <v/>
      </c>
      <c r="H949" t="str">
        <f t="shared" si="69"/>
        <v/>
      </c>
      <c r="I949" t="str">
        <f t="shared" si="70"/>
        <v/>
      </c>
      <c r="J949" t="str">
        <f t="shared" si="71"/>
        <v/>
      </c>
      <c r="K949" t="str">
        <f t="shared" si="72"/>
        <v/>
      </c>
    </row>
    <row r="950" spans="6:11">
      <c r="F950" t="str">
        <f>IF(B950="Egg Shop","",IF(J950="","",IFERROR(LOOKUP(2,1/(Purchases!$H$3:$H$2002=J950),Purchases!$F$3:$F$2002),"")))</f>
        <v/>
      </c>
      <c r="G950" t="str">
        <f t="shared" si="68"/>
        <v/>
      </c>
      <c r="H950" t="str">
        <f t="shared" si="69"/>
        <v/>
      </c>
      <c r="I950" t="str">
        <f t="shared" si="70"/>
        <v/>
      </c>
      <c r="J950" t="str">
        <f t="shared" si="71"/>
        <v/>
      </c>
      <c r="K950" t="str">
        <f t="shared" si="72"/>
        <v/>
      </c>
    </row>
    <row r="951" spans="6:11">
      <c r="F951" t="str">
        <f>IF(B951="Egg Shop","",IF(J951="","",IFERROR(LOOKUP(2,1/(Purchases!$H$3:$H$2002=J951),Purchases!$F$3:$F$2002),"")))</f>
        <v/>
      </c>
      <c r="G951" t="str">
        <f t="shared" si="68"/>
        <v/>
      </c>
      <c r="H951" t="str">
        <f t="shared" si="69"/>
        <v/>
      </c>
      <c r="I951" t="str">
        <f t="shared" si="70"/>
        <v/>
      </c>
      <c r="J951" t="str">
        <f t="shared" si="71"/>
        <v/>
      </c>
      <c r="K951" t="str">
        <f t="shared" si="72"/>
        <v/>
      </c>
    </row>
    <row r="952" spans="6:11">
      <c r="F952" t="str">
        <f>IF(B952="Egg Shop","",IF(J952="","",IFERROR(LOOKUP(2,1/(Purchases!$H$3:$H$2002=J952),Purchases!$F$3:$F$2002),"")))</f>
        <v/>
      </c>
      <c r="G952" t="str">
        <f t="shared" si="68"/>
        <v/>
      </c>
      <c r="H952" t="str">
        <f t="shared" si="69"/>
        <v/>
      </c>
      <c r="I952" t="str">
        <f t="shared" si="70"/>
        <v/>
      </c>
      <c r="J952" t="str">
        <f t="shared" si="71"/>
        <v/>
      </c>
      <c r="K952" t="str">
        <f t="shared" si="72"/>
        <v/>
      </c>
    </row>
    <row r="953" spans="6:11">
      <c r="F953" t="str">
        <f>IF(B953="Egg Shop","",IF(J953="","",IFERROR(LOOKUP(2,1/(Purchases!$H$3:$H$2002=J953),Purchases!$F$3:$F$2002),"")))</f>
        <v/>
      </c>
      <c r="G953" t="str">
        <f t="shared" si="68"/>
        <v/>
      </c>
      <c r="H953" t="str">
        <f t="shared" si="69"/>
        <v/>
      </c>
      <c r="I953" t="str">
        <f t="shared" si="70"/>
        <v/>
      </c>
      <c r="J953" t="str">
        <f t="shared" si="71"/>
        <v/>
      </c>
      <c r="K953" t="str">
        <f t="shared" si="72"/>
        <v/>
      </c>
    </row>
    <row r="954" spans="6:11">
      <c r="F954" t="str">
        <f>IF(B954="Egg Shop","",IF(J954="","",IFERROR(LOOKUP(2,1/(Purchases!$H$3:$H$2002=J954),Purchases!$F$3:$F$2002),"")))</f>
        <v/>
      </c>
      <c r="G954" t="str">
        <f t="shared" si="68"/>
        <v/>
      </c>
      <c r="H954" t="str">
        <f t="shared" si="69"/>
        <v/>
      </c>
      <c r="I954" t="str">
        <f t="shared" si="70"/>
        <v/>
      </c>
      <c r="J954" t="str">
        <f t="shared" si="71"/>
        <v/>
      </c>
      <c r="K954" t="str">
        <f t="shared" si="72"/>
        <v/>
      </c>
    </row>
    <row r="955" spans="6:11">
      <c r="F955" t="str">
        <f>IF(B955="Egg Shop","",IF(J955="","",IFERROR(LOOKUP(2,1/(Purchases!$H$3:$H$2002=J955),Purchases!$F$3:$F$2002),"")))</f>
        <v/>
      </c>
      <c r="G955" t="str">
        <f t="shared" si="68"/>
        <v/>
      </c>
      <c r="H955" t="str">
        <f t="shared" si="69"/>
        <v/>
      </c>
      <c r="I955" t="str">
        <f t="shared" si="70"/>
        <v/>
      </c>
      <c r="J955" t="str">
        <f t="shared" si="71"/>
        <v/>
      </c>
      <c r="K955" t="str">
        <f t="shared" si="72"/>
        <v/>
      </c>
    </row>
    <row r="956" spans="6:11">
      <c r="F956" t="str">
        <f>IF(B956="Egg Shop","",IF(J956="","",IFERROR(LOOKUP(2,1/(Purchases!$H$3:$H$2002=J956),Purchases!$F$3:$F$2002),"")))</f>
        <v/>
      </c>
      <c r="G956" t="str">
        <f t="shared" si="68"/>
        <v/>
      </c>
      <c r="H956" t="str">
        <f t="shared" si="69"/>
        <v/>
      </c>
      <c r="I956" t="str">
        <f t="shared" si="70"/>
        <v/>
      </c>
      <c r="J956" t="str">
        <f t="shared" si="71"/>
        <v/>
      </c>
      <c r="K956" t="str">
        <f t="shared" si="72"/>
        <v/>
      </c>
    </row>
    <row r="957" spans="6:11">
      <c r="F957" t="str">
        <f>IF(B957="Egg Shop","",IF(J957="","",IFERROR(LOOKUP(2,1/(Purchases!$H$3:$H$2002=J957),Purchases!$F$3:$F$2002),"")))</f>
        <v/>
      </c>
      <c r="G957" t="str">
        <f t="shared" si="68"/>
        <v/>
      </c>
      <c r="H957" t="str">
        <f t="shared" si="69"/>
        <v/>
      </c>
      <c r="I957" t="str">
        <f t="shared" si="70"/>
        <v/>
      </c>
      <c r="J957" t="str">
        <f t="shared" si="71"/>
        <v/>
      </c>
      <c r="K957" t="str">
        <f t="shared" si="72"/>
        <v/>
      </c>
    </row>
    <row r="958" spans="6:11">
      <c r="F958" t="str">
        <f>IF(B958="Egg Shop","",IF(J958="","",IFERROR(LOOKUP(2,1/(Purchases!$H$3:$H$2002=J958),Purchases!$F$3:$F$2002),"")))</f>
        <v/>
      </c>
      <c r="G958" t="str">
        <f t="shared" si="68"/>
        <v/>
      </c>
      <c r="H958" t="str">
        <f t="shared" si="69"/>
        <v/>
      </c>
      <c r="I958" t="str">
        <f t="shared" si="70"/>
        <v/>
      </c>
      <c r="J958" t="str">
        <f t="shared" si="71"/>
        <v/>
      </c>
      <c r="K958" t="str">
        <f t="shared" si="72"/>
        <v/>
      </c>
    </row>
    <row r="959" spans="6:11">
      <c r="F959" t="str">
        <f>IF(B959="Egg Shop","",IF(J959="","",IFERROR(LOOKUP(2,1/(Purchases!$H$3:$H$2002=J959),Purchases!$F$3:$F$2002),"")))</f>
        <v/>
      </c>
      <c r="G959" t="str">
        <f t="shared" si="68"/>
        <v/>
      </c>
      <c r="H959" t="str">
        <f t="shared" si="69"/>
        <v/>
      </c>
      <c r="I959" t="str">
        <f t="shared" si="70"/>
        <v/>
      </c>
      <c r="J959" t="str">
        <f t="shared" si="71"/>
        <v/>
      </c>
      <c r="K959" t="str">
        <f t="shared" si="72"/>
        <v/>
      </c>
    </row>
    <row r="960" spans="6:11">
      <c r="F960" t="str">
        <f>IF(B960="Egg Shop","",IF(J960="","",IFERROR(LOOKUP(2,1/(Purchases!$H$3:$H$2002=J960),Purchases!$F$3:$F$2002),"")))</f>
        <v/>
      </c>
      <c r="G960" t="str">
        <f t="shared" si="68"/>
        <v/>
      </c>
      <c r="H960" t="str">
        <f t="shared" si="69"/>
        <v/>
      </c>
      <c r="I960" t="str">
        <f t="shared" si="70"/>
        <v/>
      </c>
      <c r="J960" t="str">
        <f t="shared" si="71"/>
        <v/>
      </c>
      <c r="K960" t="str">
        <f t="shared" si="72"/>
        <v/>
      </c>
    </row>
    <row r="961" spans="6:11">
      <c r="F961" t="str">
        <f>IF(B961="Egg Shop","",IF(J961="","",IFERROR(LOOKUP(2,1/(Purchases!$H$3:$H$2002=J961),Purchases!$F$3:$F$2002),"")))</f>
        <v/>
      </c>
      <c r="G961" t="str">
        <f t="shared" si="68"/>
        <v/>
      </c>
      <c r="H961" t="str">
        <f t="shared" si="69"/>
        <v/>
      </c>
      <c r="I961" t="str">
        <f t="shared" si="70"/>
        <v/>
      </c>
      <c r="J961" t="str">
        <f t="shared" si="71"/>
        <v/>
      </c>
      <c r="K961" t="str">
        <f t="shared" si="72"/>
        <v/>
      </c>
    </row>
    <row r="962" spans="6:11">
      <c r="F962" t="str">
        <f>IF(B962="Egg Shop","",IF(J962="","",IFERROR(LOOKUP(2,1/(Purchases!$H$3:$H$2002=J962),Purchases!$F$3:$F$2002),"")))</f>
        <v/>
      </c>
      <c r="G962" t="str">
        <f t="shared" si="68"/>
        <v/>
      </c>
      <c r="H962" t="str">
        <f t="shared" si="69"/>
        <v/>
      </c>
      <c r="I962" t="str">
        <f t="shared" si="70"/>
        <v/>
      </c>
      <c r="J962" t="str">
        <f t="shared" si="71"/>
        <v/>
      </c>
      <c r="K962" t="str">
        <f t="shared" si="72"/>
        <v/>
      </c>
    </row>
    <row r="963" spans="6:11">
      <c r="F963" t="str">
        <f>IF(B963="Egg Shop","",IF(J963="","",IFERROR(LOOKUP(2,1/(Purchases!$H$3:$H$2002=J963),Purchases!$F$3:$F$2002),"")))</f>
        <v/>
      </c>
      <c r="G963" t="str">
        <f t="shared" ref="G963:G1026" si="73">IF(OR(D963="",E963=""),"",D963*E963)</f>
        <v/>
      </c>
      <c r="H963" t="str">
        <f t="shared" ref="H963:H1026" si="74">IF(OR(D963="",F963=""),"",D963*F963)</f>
        <v/>
      </c>
      <c r="I963" t="str">
        <f t="shared" ref="I963:I1026" si="75">IF(OR(G963="",H963=""),"",G963-H963)</f>
        <v/>
      </c>
      <c r="J963" t="str">
        <f t="shared" ref="J963:J1026" si="76">IF(OR(B963="",C963=""),"",B963&amp;"|"&amp;C963)</f>
        <v/>
      </c>
      <c r="K963" t="str">
        <f t="shared" si="72"/>
        <v/>
      </c>
    </row>
    <row r="964" spans="6:11">
      <c r="F964" t="str">
        <f>IF(B964="Egg Shop","",IF(J964="","",IFERROR(LOOKUP(2,1/(Purchases!$H$3:$H$2002=J964),Purchases!$F$3:$F$2002),"")))</f>
        <v/>
      </c>
      <c r="G964" t="str">
        <f t="shared" si="73"/>
        <v/>
      </c>
      <c r="H964" t="str">
        <f t="shared" si="74"/>
        <v/>
      </c>
      <c r="I964" t="str">
        <f t="shared" si="75"/>
        <v/>
      </c>
      <c r="J964" t="str">
        <f t="shared" si="76"/>
        <v/>
      </c>
      <c r="K964" t="str">
        <f t="shared" si="72"/>
        <v/>
      </c>
    </row>
    <row r="965" spans="6:11">
      <c r="F965" t="str">
        <f>IF(B965="Egg Shop","",IF(J965="","",IFERROR(LOOKUP(2,1/(Purchases!$H$3:$H$2002=J965),Purchases!$F$3:$F$2002),"")))</f>
        <v/>
      </c>
      <c r="G965" t="str">
        <f t="shared" si="73"/>
        <v/>
      </c>
      <c r="H965" t="str">
        <f t="shared" si="74"/>
        <v/>
      </c>
      <c r="I965" t="str">
        <f t="shared" si="75"/>
        <v/>
      </c>
      <c r="J965" t="str">
        <f t="shared" si="76"/>
        <v/>
      </c>
      <c r="K965" t="str">
        <f t="shared" si="72"/>
        <v/>
      </c>
    </row>
    <row r="966" spans="6:11">
      <c r="F966" t="str">
        <f>IF(B966="Egg Shop","",IF(J966="","",IFERROR(LOOKUP(2,1/(Purchases!$H$3:$H$2002=J966),Purchases!$F$3:$F$2002),"")))</f>
        <v/>
      </c>
      <c r="G966" t="str">
        <f t="shared" si="73"/>
        <v/>
      </c>
      <c r="H966" t="str">
        <f t="shared" si="74"/>
        <v/>
      </c>
      <c r="I966" t="str">
        <f t="shared" si="75"/>
        <v/>
      </c>
      <c r="J966" t="str">
        <f t="shared" si="76"/>
        <v/>
      </c>
      <c r="K966" t="str">
        <f t="shared" si="72"/>
        <v/>
      </c>
    </row>
    <row r="967" spans="6:11">
      <c r="F967" t="str">
        <f>IF(B967="Egg Shop","",IF(J967="","",IFERROR(LOOKUP(2,1/(Purchases!$H$3:$H$2002=J967),Purchases!$F$3:$F$2002),"")))</f>
        <v/>
      </c>
      <c r="G967" t="str">
        <f t="shared" si="73"/>
        <v/>
      </c>
      <c r="H967" t="str">
        <f t="shared" si="74"/>
        <v/>
      </c>
      <c r="I967" t="str">
        <f t="shared" si="75"/>
        <v/>
      </c>
      <c r="J967" t="str">
        <f t="shared" si="76"/>
        <v/>
      </c>
      <c r="K967" t="str">
        <f t="shared" si="72"/>
        <v/>
      </c>
    </row>
    <row r="968" spans="6:11">
      <c r="F968" t="str">
        <f>IF(B968="Egg Shop","",IF(J968="","",IFERROR(LOOKUP(2,1/(Purchases!$H$3:$H$2002=J968),Purchases!$F$3:$F$2002),"")))</f>
        <v/>
      </c>
      <c r="G968" t="str">
        <f t="shared" si="73"/>
        <v/>
      </c>
      <c r="H968" t="str">
        <f t="shared" si="74"/>
        <v/>
      </c>
      <c r="I968" t="str">
        <f t="shared" si="75"/>
        <v/>
      </c>
      <c r="J968" t="str">
        <f t="shared" si="76"/>
        <v/>
      </c>
      <c r="K968" t="str">
        <f t="shared" si="72"/>
        <v/>
      </c>
    </row>
    <row r="969" spans="6:11">
      <c r="F969" t="str">
        <f>IF(B969="Egg Shop","",IF(J969="","",IFERROR(LOOKUP(2,1/(Purchases!$H$3:$H$2002=J969),Purchases!$F$3:$F$2002),"")))</f>
        <v/>
      </c>
      <c r="G969" t="str">
        <f t="shared" si="73"/>
        <v/>
      </c>
      <c r="H969" t="str">
        <f t="shared" si="74"/>
        <v/>
      </c>
      <c r="I969" t="str">
        <f t="shared" si="75"/>
        <v/>
      </c>
      <c r="J969" t="str">
        <f t="shared" si="76"/>
        <v/>
      </c>
      <c r="K969" t="str">
        <f t="shared" si="72"/>
        <v/>
      </c>
    </row>
    <row r="970" spans="6:11">
      <c r="F970" t="str">
        <f>IF(B970="Egg Shop","",IF(J970="","",IFERROR(LOOKUP(2,1/(Purchases!$H$3:$H$2002=J970),Purchases!$F$3:$F$2002),"")))</f>
        <v/>
      </c>
      <c r="G970" t="str">
        <f t="shared" si="73"/>
        <v/>
      </c>
      <c r="H970" t="str">
        <f t="shared" si="74"/>
        <v/>
      </c>
      <c r="I970" t="str">
        <f t="shared" si="75"/>
        <v/>
      </c>
      <c r="J970" t="str">
        <f t="shared" si="76"/>
        <v/>
      </c>
      <c r="K970" t="str">
        <f t="shared" si="72"/>
        <v/>
      </c>
    </row>
    <row r="971" spans="6:11">
      <c r="F971" t="str">
        <f>IF(B971="Egg Shop","",IF(J971="","",IFERROR(LOOKUP(2,1/(Purchases!$H$3:$H$2002=J971),Purchases!$F$3:$F$2002),"")))</f>
        <v/>
      </c>
      <c r="G971" t="str">
        <f t="shared" si="73"/>
        <v/>
      </c>
      <c r="H971" t="str">
        <f t="shared" si="74"/>
        <v/>
      </c>
      <c r="I971" t="str">
        <f t="shared" si="75"/>
        <v/>
      </c>
      <c r="J971" t="str">
        <f t="shared" si="76"/>
        <v/>
      </c>
      <c r="K971" t="str">
        <f t="shared" si="72"/>
        <v/>
      </c>
    </row>
    <row r="972" spans="6:11">
      <c r="F972" t="str">
        <f>IF(B972="Egg Shop","",IF(J972="","",IFERROR(LOOKUP(2,1/(Purchases!$H$3:$H$2002=J972),Purchases!$F$3:$F$2002),"")))</f>
        <v/>
      </c>
      <c r="G972" t="str">
        <f t="shared" si="73"/>
        <v/>
      </c>
      <c r="H972" t="str">
        <f t="shared" si="74"/>
        <v/>
      </c>
      <c r="I972" t="str">
        <f t="shared" si="75"/>
        <v/>
      </c>
      <c r="J972" t="str">
        <f t="shared" si="76"/>
        <v/>
      </c>
      <c r="K972" t="str">
        <f t="shared" si="72"/>
        <v/>
      </c>
    </row>
    <row r="973" spans="6:11">
      <c r="F973" t="str">
        <f>IF(B973="Egg Shop","",IF(J973="","",IFERROR(LOOKUP(2,1/(Purchases!$H$3:$H$2002=J973),Purchases!$F$3:$F$2002),"")))</f>
        <v/>
      </c>
      <c r="G973" t="str">
        <f t="shared" si="73"/>
        <v/>
      </c>
      <c r="H973" t="str">
        <f t="shared" si="74"/>
        <v/>
      </c>
      <c r="I973" t="str">
        <f t="shared" si="75"/>
        <v/>
      </c>
      <c r="J973" t="str">
        <f t="shared" si="76"/>
        <v/>
      </c>
      <c r="K973" t="str">
        <f t="shared" si="72"/>
        <v/>
      </c>
    </row>
    <row r="974" spans="6:11">
      <c r="F974" t="str">
        <f>IF(B974="Egg Shop","",IF(J974="","",IFERROR(LOOKUP(2,1/(Purchases!$H$3:$H$2002=J974),Purchases!$F$3:$F$2002),"")))</f>
        <v/>
      </c>
      <c r="G974" t="str">
        <f t="shared" si="73"/>
        <v/>
      </c>
      <c r="H974" t="str">
        <f t="shared" si="74"/>
        <v/>
      </c>
      <c r="I974" t="str">
        <f t="shared" si="75"/>
        <v/>
      </c>
      <c r="J974" t="str">
        <f t="shared" si="76"/>
        <v/>
      </c>
      <c r="K974" t="str">
        <f t="shared" si="72"/>
        <v/>
      </c>
    </row>
    <row r="975" spans="6:11">
      <c r="F975" t="str">
        <f>IF(B975="Egg Shop","",IF(J975="","",IFERROR(LOOKUP(2,1/(Purchases!$H$3:$H$2002=J975),Purchases!$F$3:$F$2002),"")))</f>
        <v/>
      </c>
      <c r="G975" t="str">
        <f t="shared" si="73"/>
        <v/>
      </c>
      <c r="H975" t="str">
        <f t="shared" si="74"/>
        <v/>
      </c>
      <c r="I975" t="str">
        <f t="shared" si="75"/>
        <v/>
      </c>
      <c r="J975" t="str">
        <f t="shared" si="76"/>
        <v/>
      </c>
      <c r="K975" t="str">
        <f t="shared" si="72"/>
        <v/>
      </c>
    </row>
    <row r="976" spans="6:11">
      <c r="F976" t="str">
        <f>IF(B976="Egg Shop","",IF(J976="","",IFERROR(LOOKUP(2,1/(Purchases!$H$3:$H$2002=J976),Purchases!$F$3:$F$2002),"")))</f>
        <v/>
      </c>
      <c r="G976" t="str">
        <f t="shared" si="73"/>
        <v/>
      </c>
      <c r="H976" t="str">
        <f t="shared" si="74"/>
        <v/>
      </c>
      <c r="I976" t="str">
        <f t="shared" si="75"/>
        <v/>
      </c>
      <c r="J976" t="str">
        <f t="shared" si="76"/>
        <v/>
      </c>
      <c r="K976" t="str">
        <f t="shared" si="72"/>
        <v/>
      </c>
    </row>
    <row r="977" spans="6:11">
      <c r="F977" t="str">
        <f>IF(B977="Egg Shop","",IF(J977="","",IFERROR(LOOKUP(2,1/(Purchases!$H$3:$H$2002=J977),Purchases!$F$3:$F$2002),"")))</f>
        <v/>
      </c>
      <c r="G977" t="str">
        <f t="shared" si="73"/>
        <v/>
      </c>
      <c r="H977" t="str">
        <f t="shared" si="74"/>
        <v/>
      </c>
      <c r="I977" t="str">
        <f t="shared" si="75"/>
        <v/>
      </c>
      <c r="J977" t="str">
        <f t="shared" si="76"/>
        <v/>
      </c>
      <c r="K977" t="str">
        <f t="shared" si="72"/>
        <v/>
      </c>
    </row>
    <row r="978" spans="6:11">
      <c r="F978" t="str">
        <f>IF(B978="Egg Shop","",IF(J978="","",IFERROR(LOOKUP(2,1/(Purchases!$H$3:$H$2002=J978),Purchases!$F$3:$F$2002),"")))</f>
        <v/>
      </c>
      <c r="G978" t="str">
        <f t="shared" si="73"/>
        <v/>
      </c>
      <c r="H978" t="str">
        <f t="shared" si="74"/>
        <v/>
      </c>
      <c r="I978" t="str">
        <f t="shared" si="75"/>
        <v/>
      </c>
      <c r="J978" t="str">
        <f t="shared" si="76"/>
        <v/>
      </c>
      <c r="K978" t="str">
        <f t="shared" ref="K978:K1041" si="77">IF(A978&lt;&gt;"","Cash","")</f>
        <v/>
      </c>
    </row>
    <row r="979" spans="6:11">
      <c r="F979" t="str">
        <f>IF(B979="Egg Shop","",IF(J979="","",IFERROR(LOOKUP(2,1/(Purchases!$H$3:$H$2002=J979),Purchases!$F$3:$F$2002),"")))</f>
        <v/>
      </c>
      <c r="G979" t="str">
        <f t="shared" si="73"/>
        <v/>
      </c>
      <c r="H979" t="str">
        <f t="shared" si="74"/>
        <v/>
      </c>
      <c r="I979" t="str">
        <f t="shared" si="75"/>
        <v/>
      </c>
      <c r="J979" t="str">
        <f t="shared" si="76"/>
        <v/>
      </c>
      <c r="K979" t="str">
        <f t="shared" si="77"/>
        <v/>
      </c>
    </row>
    <row r="980" spans="6:11">
      <c r="F980" t="str">
        <f>IF(B980="Egg Shop","",IF(J980="","",IFERROR(LOOKUP(2,1/(Purchases!$H$3:$H$2002=J980),Purchases!$F$3:$F$2002),"")))</f>
        <v/>
      </c>
      <c r="G980" t="str">
        <f t="shared" si="73"/>
        <v/>
      </c>
      <c r="H980" t="str">
        <f t="shared" si="74"/>
        <v/>
      </c>
      <c r="I980" t="str">
        <f t="shared" si="75"/>
        <v/>
      </c>
      <c r="J980" t="str">
        <f t="shared" si="76"/>
        <v/>
      </c>
      <c r="K980" t="str">
        <f t="shared" si="77"/>
        <v/>
      </c>
    </row>
    <row r="981" spans="6:11">
      <c r="F981" t="str">
        <f>IF(B981="Egg Shop","",IF(J981="","",IFERROR(LOOKUP(2,1/(Purchases!$H$3:$H$2002=J981),Purchases!$F$3:$F$2002),"")))</f>
        <v/>
      </c>
      <c r="G981" t="str">
        <f t="shared" si="73"/>
        <v/>
      </c>
      <c r="H981" t="str">
        <f t="shared" si="74"/>
        <v/>
      </c>
      <c r="I981" t="str">
        <f t="shared" si="75"/>
        <v/>
      </c>
      <c r="J981" t="str">
        <f t="shared" si="76"/>
        <v/>
      </c>
      <c r="K981" t="str">
        <f t="shared" si="77"/>
        <v/>
      </c>
    </row>
    <row r="982" spans="6:11">
      <c r="F982" t="str">
        <f>IF(B982="Egg Shop","",IF(J982="","",IFERROR(LOOKUP(2,1/(Purchases!$H$3:$H$2002=J982),Purchases!$F$3:$F$2002),"")))</f>
        <v/>
      </c>
      <c r="G982" t="str">
        <f t="shared" si="73"/>
        <v/>
      </c>
      <c r="H982" t="str">
        <f t="shared" si="74"/>
        <v/>
      </c>
      <c r="I982" t="str">
        <f t="shared" si="75"/>
        <v/>
      </c>
      <c r="J982" t="str">
        <f t="shared" si="76"/>
        <v/>
      </c>
      <c r="K982" t="str">
        <f t="shared" si="77"/>
        <v/>
      </c>
    </row>
    <row r="983" spans="6:11">
      <c r="F983" t="str">
        <f>IF(B983="Egg Shop","",IF(J983="","",IFERROR(LOOKUP(2,1/(Purchases!$H$3:$H$2002=J983),Purchases!$F$3:$F$2002),"")))</f>
        <v/>
      </c>
      <c r="G983" t="str">
        <f t="shared" si="73"/>
        <v/>
      </c>
      <c r="H983" t="str">
        <f t="shared" si="74"/>
        <v/>
      </c>
      <c r="I983" t="str">
        <f t="shared" si="75"/>
        <v/>
      </c>
      <c r="J983" t="str">
        <f t="shared" si="76"/>
        <v/>
      </c>
      <c r="K983" t="str">
        <f t="shared" si="77"/>
        <v/>
      </c>
    </row>
    <row r="984" spans="6:11">
      <c r="F984" t="str">
        <f>IF(B984="Egg Shop","",IF(J984="","",IFERROR(LOOKUP(2,1/(Purchases!$H$3:$H$2002=J984),Purchases!$F$3:$F$2002),"")))</f>
        <v/>
      </c>
      <c r="G984" t="str">
        <f t="shared" si="73"/>
        <v/>
      </c>
      <c r="H984" t="str">
        <f t="shared" si="74"/>
        <v/>
      </c>
      <c r="I984" t="str">
        <f t="shared" si="75"/>
        <v/>
      </c>
      <c r="J984" t="str">
        <f t="shared" si="76"/>
        <v/>
      </c>
      <c r="K984" t="str">
        <f t="shared" si="77"/>
        <v/>
      </c>
    </row>
    <row r="985" spans="6:11">
      <c r="F985" t="str">
        <f>IF(B985="Egg Shop","",IF(J985="","",IFERROR(LOOKUP(2,1/(Purchases!$H$3:$H$2002=J985),Purchases!$F$3:$F$2002),"")))</f>
        <v/>
      </c>
      <c r="G985" t="str">
        <f t="shared" si="73"/>
        <v/>
      </c>
      <c r="H985" t="str">
        <f t="shared" si="74"/>
        <v/>
      </c>
      <c r="I985" t="str">
        <f t="shared" si="75"/>
        <v/>
      </c>
      <c r="J985" t="str">
        <f t="shared" si="76"/>
        <v/>
      </c>
      <c r="K985" t="str">
        <f t="shared" si="77"/>
        <v/>
      </c>
    </row>
    <row r="986" spans="6:11">
      <c r="F986" t="str">
        <f>IF(B986="Egg Shop","",IF(J986="","",IFERROR(LOOKUP(2,1/(Purchases!$H$3:$H$2002=J986),Purchases!$F$3:$F$2002),"")))</f>
        <v/>
      </c>
      <c r="G986" t="str">
        <f t="shared" si="73"/>
        <v/>
      </c>
      <c r="H986" t="str">
        <f t="shared" si="74"/>
        <v/>
      </c>
      <c r="I986" t="str">
        <f t="shared" si="75"/>
        <v/>
      </c>
      <c r="J986" t="str">
        <f t="shared" si="76"/>
        <v/>
      </c>
      <c r="K986" t="str">
        <f t="shared" si="77"/>
        <v/>
      </c>
    </row>
    <row r="987" spans="6:11">
      <c r="F987" t="str">
        <f>IF(B987="Egg Shop","",IF(J987="","",IFERROR(LOOKUP(2,1/(Purchases!$H$3:$H$2002=J987),Purchases!$F$3:$F$2002),"")))</f>
        <v/>
      </c>
      <c r="G987" t="str">
        <f t="shared" si="73"/>
        <v/>
      </c>
      <c r="H987" t="str">
        <f t="shared" si="74"/>
        <v/>
      </c>
      <c r="I987" t="str">
        <f t="shared" si="75"/>
        <v/>
      </c>
      <c r="J987" t="str">
        <f t="shared" si="76"/>
        <v/>
      </c>
      <c r="K987" t="str">
        <f t="shared" si="77"/>
        <v/>
      </c>
    </row>
    <row r="988" spans="6:11">
      <c r="F988" t="str">
        <f>IF(B988="Egg Shop","",IF(J988="","",IFERROR(LOOKUP(2,1/(Purchases!$H$3:$H$2002=J988),Purchases!$F$3:$F$2002),"")))</f>
        <v/>
      </c>
      <c r="G988" t="str">
        <f t="shared" si="73"/>
        <v/>
      </c>
      <c r="H988" t="str">
        <f t="shared" si="74"/>
        <v/>
      </c>
      <c r="I988" t="str">
        <f t="shared" si="75"/>
        <v/>
      </c>
      <c r="J988" t="str">
        <f t="shared" si="76"/>
        <v/>
      </c>
      <c r="K988" t="str">
        <f t="shared" si="77"/>
        <v/>
      </c>
    </row>
    <row r="989" spans="6:11">
      <c r="F989" t="str">
        <f>IF(B989="Egg Shop","",IF(J989="","",IFERROR(LOOKUP(2,1/(Purchases!$H$3:$H$2002=J989),Purchases!$F$3:$F$2002),"")))</f>
        <v/>
      </c>
      <c r="G989" t="str">
        <f t="shared" si="73"/>
        <v/>
      </c>
      <c r="H989" t="str">
        <f t="shared" si="74"/>
        <v/>
      </c>
      <c r="I989" t="str">
        <f t="shared" si="75"/>
        <v/>
      </c>
      <c r="J989" t="str">
        <f t="shared" si="76"/>
        <v/>
      </c>
      <c r="K989" t="str">
        <f t="shared" si="77"/>
        <v/>
      </c>
    </row>
    <row r="990" spans="6:11">
      <c r="F990" t="str">
        <f>IF(B990="Egg Shop","",IF(J990="","",IFERROR(LOOKUP(2,1/(Purchases!$H$3:$H$2002=J990),Purchases!$F$3:$F$2002),"")))</f>
        <v/>
      </c>
      <c r="G990" t="str">
        <f t="shared" si="73"/>
        <v/>
      </c>
      <c r="H990" t="str">
        <f t="shared" si="74"/>
        <v/>
      </c>
      <c r="I990" t="str">
        <f t="shared" si="75"/>
        <v/>
      </c>
      <c r="J990" t="str">
        <f t="shared" si="76"/>
        <v/>
      </c>
      <c r="K990" t="str">
        <f t="shared" si="77"/>
        <v/>
      </c>
    </row>
    <row r="991" spans="6:11">
      <c r="F991" t="str">
        <f>IF(B991="Egg Shop","",IF(J991="","",IFERROR(LOOKUP(2,1/(Purchases!$H$3:$H$2002=J991),Purchases!$F$3:$F$2002),"")))</f>
        <v/>
      </c>
      <c r="G991" t="str">
        <f t="shared" si="73"/>
        <v/>
      </c>
      <c r="H991" t="str">
        <f t="shared" si="74"/>
        <v/>
      </c>
      <c r="I991" t="str">
        <f t="shared" si="75"/>
        <v/>
      </c>
      <c r="J991" t="str">
        <f t="shared" si="76"/>
        <v/>
      </c>
      <c r="K991" t="str">
        <f t="shared" si="77"/>
        <v/>
      </c>
    </row>
    <row r="992" spans="6:11">
      <c r="F992" t="str">
        <f>IF(B992="Egg Shop","",IF(J992="","",IFERROR(LOOKUP(2,1/(Purchases!$H$3:$H$2002=J992),Purchases!$F$3:$F$2002),"")))</f>
        <v/>
      </c>
      <c r="G992" t="str">
        <f t="shared" si="73"/>
        <v/>
      </c>
      <c r="H992" t="str">
        <f t="shared" si="74"/>
        <v/>
      </c>
      <c r="I992" t="str">
        <f t="shared" si="75"/>
        <v/>
      </c>
      <c r="J992" t="str">
        <f t="shared" si="76"/>
        <v/>
      </c>
      <c r="K992" t="str">
        <f t="shared" si="77"/>
        <v/>
      </c>
    </row>
    <row r="993" spans="6:11">
      <c r="F993" t="str">
        <f>IF(B993="Egg Shop","",IF(J993="","",IFERROR(LOOKUP(2,1/(Purchases!$H$3:$H$2002=J993),Purchases!$F$3:$F$2002),"")))</f>
        <v/>
      </c>
      <c r="G993" t="str">
        <f t="shared" si="73"/>
        <v/>
      </c>
      <c r="H993" t="str">
        <f t="shared" si="74"/>
        <v/>
      </c>
      <c r="I993" t="str">
        <f t="shared" si="75"/>
        <v/>
      </c>
      <c r="J993" t="str">
        <f t="shared" si="76"/>
        <v/>
      </c>
      <c r="K993" t="str">
        <f t="shared" si="77"/>
        <v/>
      </c>
    </row>
    <row r="994" spans="6:11">
      <c r="F994" t="str">
        <f>IF(B994="Egg Shop","",IF(J994="","",IFERROR(LOOKUP(2,1/(Purchases!$H$3:$H$2002=J994),Purchases!$F$3:$F$2002),"")))</f>
        <v/>
      </c>
      <c r="G994" t="str">
        <f t="shared" si="73"/>
        <v/>
      </c>
      <c r="H994" t="str">
        <f t="shared" si="74"/>
        <v/>
      </c>
      <c r="I994" t="str">
        <f t="shared" si="75"/>
        <v/>
      </c>
      <c r="J994" t="str">
        <f t="shared" si="76"/>
        <v/>
      </c>
      <c r="K994" t="str">
        <f t="shared" si="77"/>
        <v/>
      </c>
    </row>
    <row r="995" spans="6:11">
      <c r="F995" t="str">
        <f>IF(B995="Egg Shop","",IF(J995="","",IFERROR(LOOKUP(2,1/(Purchases!$H$3:$H$2002=J995),Purchases!$F$3:$F$2002),"")))</f>
        <v/>
      </c>
      <c r="G995" t="str">
        <f t="shared" si="73"/>
        <v/>
      </c>
      <c r="H995" t="str">
        <f t="shared" si="74"/>
        <v/>
      </c>
      <c r="I995" t="str">
        <f t="shared" si="75"/>
        <v/>
      </c>
      <c r="J995" t="str">
        <f t="shared" si="76"/>
        <v/>
      </c>
      <c r="K995" t="str">
        <f t="shared" si="77"/>
        <v/>
      </c>
    </row>
    <row r="996" spans="6:11">
      <c r="F996" t="str">
        <f>IF(B996="Egg Shop","",IF(J996="","",IFERROR(LOOKUP(2,1/(Purchases!$H$3:$H$2002=J996),Purchases!$F$3:$F$2002),"")))</f>
        <v/>
      </c>
      <c r="G996" t="str">
        <f t="shared" si="73"/>
        <v/>
      </c>
      <c r="H996" t="str">
        <f t="shared" si="74"/>
        <v/>
      </c>
      <c r="I996" t="str">
        <f t="shared" si="75"/>
        <v/>
      </c>
      <c r="J996" t="str">
        <f t="shared" si="76"/>
        <v/>
      </c>
      <c r="K996" t="str">
        <f t="shared" si="77"/>
        <v/>
      </c>
    </row>
    <row r="997" spans="6:11">
      <c r="F997" t="str">
        <f>IF(B997="Egg Shop","",IF(J997="","",IFERROR(LOOKUP(2,1/(Purchases!$H$3:$H$2002=J997),Purchases!$F$3:$F$2002),"")))</f>
        <v/>
      </c>
      <c r="G997" t="str">
        <f t="shared" si="73"/>
        <v/>
      </c>
      <c r="H997" t="str">
        <f t="shared" si="74"/>
        <v/>
      </c>
      <c r="I997" t="str">
        <f t="shared" si="75"/>
        <v/>
      </c>
      <c r="J997" t="str">
        <f t="shared" si="76"/>
        <v/>
      </c>
      <c r="K997" t="str">
        <f t="shared" si="77"/>
        <v/>
      </c>
    </row>
    <row r="998" spans="6:11">
      <c r="F998" t="str">
        <f>IF(B998="Egg Shop","",IF(J998="","",IFERROR(LOOKUP(2,1/(Purchases!$H$3:$H$2002=J998),Purchases!$F$3:$F$2002),"")))</f>
        <v/>
      </c>
      <c r="G998" t="str">
        <f t="shared" si="73"/>
        <v/>
      </c>
      <c r="H998" t="str">
        <f t="shared" si="74"/>
        <v/>
      </c>
      <c r="I998" t="str">
        <f t="shared" si="75"/>
        <v/>
      </c>
      <c r="J998" t="str">
        <f t="shared" si="76"/>
        <v/>
      </c>
      <c r="K998" t="str">
        <f t="shared" si="77"/>
        <v/>
      </c>
    </row>
    <row r="999" spans="6:11">
      <c r="F999" t="str">
        <f>IF(B999="Egg Shop","",IF(J999="","",IFERROR(LOOKUP(2,1/(Purchases!$H$3:$H$2002=J999),Purchases!$F$3:$F$2002),"")))</f>
        <v/>
      </c>
      <c r="G999" t="str">
        <f t="shared" si="73"/>
        <v/>
      </c>
      <c r="H999" t="str">
        <f t="shared" si="74"/>
        <v/>
      </c>
      <c r="I999" t="str">
        <f t="shared" si="75"/>
        <v/>
      </c>
      <c r="J999" t="str">
        <f t="shared" si="76"/>
        <v/>
      </c>
      <c r="K999" t="str">
        <f t="shared" si="77"/>
        <v/>
      </c>
    </row>
    <row r="1000" spans="6:11">
      <c r="F1000" t="str">
        <f>IF(B1000="Egg Shop","",IF(J1000="","",IFERROR(LOOKUP(2,1/(Purchases!$H$3:$H$2002=J1000),Purchases!$F$3:$F$2002),"")))</f>
        <v/>
      </c>
      <c r="G1000" t="str">
        <f t="shared" si="73"/>
        <v/>
      </c>
      <c r="H1000" t="str">
        <f t="shared" si="74"/>
        <v/>
      </c>
      <c r="I1000" t="str">
        <f t="shared" si="75"/>
        <v/>
      </c>
      <c r="J1000" t="str">
        <f t="shared" si="76"/>
        <v/>
      </c>
      <c r="K1000" t="str">
        <f t="shared" si="77"/>
        <v/>
      </c>
    </row>
    <row r="1001" spans="6:11">
      <c r="F1001" t="str">
        <f>IF(B1001="Egg Shop","",IF(J1001="","",IFERROR(LOOKUP(2,1/(Purchases!$H$3:$H$2002=J1001),Purchases!$F$3:$F$2002),"")))</f>
        <v/>
      </c>
      <c r="G1001" t="str">
        <f t="shared" si="73"/>
        <v/>
      </c>
      <c r="H1001" t="str">
        <f t="shared" si="74"/>
        <v/>
      </c>
      <c r="I1001" t="str">
        <f t="shared" si="75"/>
        <v/>
      </c>
      <c r="J1001" t="str">
        <f t="shared" si="76"/>
        <v/>
      </c>
      <c r="K1001" t="str">
        <f t="shared" si="77"/>
        <v/>
      </c>
    </row>
    <row r="1002" spans="6:11">
      <c r="F1002" t="str">
        <f>IF(B1002="Egg Shop","",IF(J1002="","",IFERROR(LOOKUP(2,1/(Purchases!$H$3:$H$2002=J1002),Purchases!$F$3:$F$2002),"")))</f>
        <v/>
      </c>
      <c r="G1002" t="str">
        <f t="shared" si="73"/>
        <v/>
      </c>
      <c r="H1002" t="str">
        <f t="shared" si="74"/>
        <v/>
      </c>
      <c r="I1002" t="str">
        <f t="shared" si="75"/>
        <v/>
      </c>
      <c r="J1002" t="str">
        <f t="shared" si="76"/>
        <v/>
      </c>
      <c r="K1002" t="str">
        <f t="shared" si="77"/>
        <v/>
      </c>
    </row>
    <row r="1003" spans="6:11">
      <c r="F1003" t="str">
        <f>IF(B1003="Egg Shop","",IF(J1003="","",IFERROR(LOOKUP(2,1/(Purchases!$H$3:$H$2002=J1003),Purchases!$F$3:$F$2002),"")))</f>
        <v/>
      </c>
      <c r="G1003" t="str">
        <f t="shared" si="73"/>
        <v/>
      </c>
      <c r="H1003" t="str">
        <f t="shared" si="74"/>
        <v/>
      </c>
      <c r="I1003" t="str">
        <f t="shared" si="75"/>
        <v/>
      </c>
      <c r="J1003" t="str">
        <f t="shared" si="76"/>
        <v/>
      </c>
      <c r="K1003" t="str">
        <f t="shared" si="77"/>
        <v/>
      </c>
    </row>
    <row r="1004" spans="6:11">
      <c r="F1004" t="str">
        <f>IF(B1004="Egg Shop","",IF(J1004="","",IFERROR(LOOKUP(2,1/(Purchases!$H$3:$H$2002=J1004),Purchases!$F$3:$F$2002),"")))</f>
        <v/>
      </c>
      <c r="G1004" t="str">
        <f t="shared" si="73"/>
        <v/>
      </c>
      <c r="H1004" t="str">
        <f t="shared" si="74"/>
        <v/>
      </c>
      <c r="I1004" t="str">
        <f t="shared" si="75"/>
        <v/>
      </c>
      <c r="J1004" t="str">
        <f t="shared" si="76"/>
        <v/>
      </c>
      <c r="K1004" t="str">
        <f t="shared" si="77"/>
        <v/>
      </c>
    </row>
    <row r="1005" spans="6:11">
      <c r="F1005" t="str">
        <f>IF(B1005="Egg Shop","",IF(J1005="","",IFERROR(LOOKUP(2,1/(Purchases!$H$3:$H$2002=J1005),Purchases!$F$3:$F$2002),"")))</f>
        <v/>
      </c>
      <c r="G1005" t="str">
        <f t="shared" si="73"/>
        <v/>
      </c>
      <c r="H1005" t="str">
        <f t="shared" si="74"/>
        <v/>
      </c>
      <c r="I1005" t="str">
        <f t="shared" si="75"/>
        <v/>
      </c>
      <c r="J1005" t="str">
        <f t="shared" si="76"/>
        <v/>
      </c>
      <c r="K1005" t="str">
        <f t="shared" si="77"/>
        <v/>
      </c>
    </row>
    <row r="1006" spans="6:11">
      <c r="F1006" t="str">
        <f>IF(B1006="Egg Shop","",IF(J1006="","",IFERROR(LOOKUP(2,1/(Purchases!$H$3:$H$2002=J1006),Purchases!$F$3:$F$2002),"")))</f>
        <v/>
      </c>
      <c r="G1006" t="str">
        <f t="shared" si="73"/>
        <v/>
      </c>
      <c r="H1006" t="str">
        <f t="shared" si="74"/>
        <v/>
      </c>
      <c r="I1006" t="str">
        <f t="shared" si="75"/>
        <v/>
      </c>
      <c r="J1006" t="str">
        <f t="shared" si="76"/>
        <v/>
      </c>
      <c r="K1006" t="str">
        <f t="shared" si="77"/>
        <v/>
      </c>
    </row>
    <row r="1007" spans="6:11">
      <c r="F1007" t="str">
        <f>IF(B1007="Egg Shop","",IF(J1007="","",IFERROR(LOOKUP(2,1/(Purchases!$H$3:$H$2002=J1007),Purchases!$F$3:$F$2002),"")))</f>
        <v/>
      </c>
      <c r="G1007" t="str">
        <f t="shared" si="73"/>
        <v/>
      </c>
      <c r="H1007" t="str">
        <f t="shared" si="74"/>
        <v/>
      </c>
      <c r="I1007" t="str">
        <f t="shared" si="75"/>
        <v/>
      </c>
      <c r="J1007" t="str">
        <f t="shared" si="76"/>
        <v/>
      </c>
      <c r="K1007" t="str">
        <f t="shared" si="77"/>
        <v/>
      </c>
    </row>
    <row r="1008" spans="6:11">
      <c r="F1008" t="str">
        <f>IF(B1008="Egg Shop","",IF(J1008="","",IFERROR(LOOKUP(2,1/(Purchases!$H$3:$H$2002=J1008),Purchases!$F$3:$F$2002),"")))</f>
        <v/>
      </c>
      <c r="G1008" t="str">
        <f t="shared" si="73"/>
        <v/>
      </c>
      <c r="H1008" t="str">
        <f t="shared" si="74"/>
        <v/>
      </c>
      <c r="I1008" t="str">
        <f t="shared" si="75"/>
        <v/>
      </c>
      <c r="J1008" t="str">
        <f t="shared" si="76"/>
        <v/>
      </c>
      <c r="K1008" t="str">
        <f t="shared" si="77"/>
        <v/>
      </c>
    </row>
    <row r="1009" spans="6:11">
      <c r="F1009" t="str">
        <f>IF(B1009="Egg Shop","",IF(J1009="","",IFERROR(LOOKUP(2,1/(Purchases!$H$3:$H$2002=J1009),Purchases!$F$3:$F$2002),"")))</f>
        <v/>
      </c>
      <c r="G1009" t="str">
        <f t="shared" si="73"/>
        <v/>
      </c>
      <c r="H1009" t="str">
        <f t="shared" si="74"/>
        <v/>
      </c>
      <c r="I1009" t="str">
        <f t="shared" si="75"/>
        <v/>
      </c>
      <c r="J1009" t="str">
        <f t="shared" si="76"/>
        <v/>
      </c>
      <c r="K1009" t="str">
        <f t="shared" si="77"/>
        <v/>
      </c>
    </row>
    <row r="1010" spans="6:11">
      <c r="F1010" t="str">
        <f>IF(B1010="Egg Shop","",IF(J1010="","",IFERROR(LOOKUP(2,1/(Purchases!$H$3:$H$2002=J1010),Purchases!$F$3:$F$2002),"")))</f>
        <v/>
      </c>
      <c r="G1010" t="str">
        <f t="shared" si="73"/>
        <v/>
      </c>
      <c r="H1010" t="str">
        <f t="shared" si="74"/>
        <v/>
      </c>
      <c r="I1010" t="str">
        <f t="shared" si="75"/>
        <v/>
      </c>
      <c r="J1010" t="str">
        <f t="shared" si="76"/>
        <v/>
      </c>
      <c r="K1010" t="str">
        <f t="shared" si="77"/>
        <v/>
      </c>
    </row>
    <row r="1011" spans="6:11">
      <c r="F1011" t="str">
        <f>IF(B1011="Egg Shop","",IF(J1011="","",IFERROR(LOOKUP(2,1/(Purchases!$H$3:$H$2002=J1011),Purchases!$F$3:$F$2002),"")))</f>
        <v/>
      </c>
      <c r="G1011" t="str">
        <f t="shared" si="73"/>
        <v/>
      </c>
      <c r="H1011" t="str">
        <f t="shared" si="74"/>
        <v/>
      </c>
      <c r="I1011" t="str">
        <f t="shared" si="75"/>
        <v/>
      </c>
      <c r="J1011" t="str">
        <f t="shared" si="76"/>
        <v/>
      </c>
      <c r="K1011" t="str">
        <f t="shared" si="77"/>
        <v/>
      </c>
    </row>
    <row r="1012" spans="6:11">
      <c r="F1012" t="str">
        <f>IF(B1012="Egg Shop","",IF(J1012="","",IFERROR(LOOKUP(2,1/(Purchases!$H$3:$H$2002=J1012),Purchases!$F$3:$F$2002),"")))</f>
        <v/>
      </c>
      <c r="G1012" t="str">
        <f t="shared" si="73"/>
        <v/>
      </c>
      <c r="H1012" t="str">
        <f t="shared" si="74"/>
        <v/>
      </c>
      <c r="I1012" t="str">
        <f t="shared" si="75"/>
        <v/>
      </c>
      <c r="J1012" t="str">
        <f t="shared" si="76"/>
        <v/>
      </c>
      <c r="K1012" t="str">
        <f t="shared" si="77"/>
        <v/>
      </c>
    </row>
    <row r="1013" spans="6:11">
      <c r="F1013" t="str">
        <f>IF(B1013="Egg Shop","",IF(J1013="","",IFERROR(LOOKUP(2,1/(Purchases!$H$3:$H$2002=J1013),Purchases!$F$3:$F$2002),"")))</f>
        <v/>
      </c>
      <c r="G1013" t="str">
        <f t="shared" si="73"/>
        <v/>
      </c>
      <c r="H1013" t="str">
        <f t="shared" si="74"/>
        <v/>
      </c>
      <c r="I1013" t="str">
        <f t="shared" si="75"/>
        <v/>
      </c>
      <c r="J1013" t="str">
        <f t="shared" si="76"/>
        <v/>
      </c>
      <c r="K1013" t="str">
        <f t="shared" si="77"/>
        <v/>
      </c>
    </row>
    <row r="1014" spans="6:11">
      <c r="F1014" t="str">
        <f>IF(B1014="Egg Shop","",IF(J1014="","",IFERROR(LOOKUP(2,1/(Purchases!$H$3:$H$2002=J1014),Purchases!$F$3:$F$2002),"")))</f>
        <v/>
      </c>
      <c r="G1014" t="str">
        <f t="shared" si="73"/>
        <v/>
      </c>
      <c r="H1014" t="str">
        <f t="shared" si="74"/>
        <v/>
      </c>
      <c r="I1014" t="str">
        <f t="shared" si="75"/>
        <v/>
      </c>
      <c r="J1014" t="str">
        <f t="shared" si="76"/>
        <v/>
      </c>
      <c r="K1014" t="str">
        <f t="shared" si="77"/>
        <v/>
      </c>
    </row>
    <row r="1015" spans="6:11">
      <c r="F1015" t="str">
        <f>IF(B1015="Egg Shop","",IF(J1015="","",IFERROR(LOOKUP(2,1/(Purchases!$H$3:$H$2002=J1015),Purchases!$F$3:$F$2002),"")))</f>
        <v/>
      </c>
      <c r="G1015" t="str">
        <f t="shared" si="73"/>
        <v/>
      </c>
      <c r="H1015" t="str">
        <f t="shared" si="74"/>
        <v/>
      </c>
      <c r="I1015" t="str">
        <f t="shared" si="75"/>
        <v/>
      </c>
      <c r="J1015" t="str">
        <f t="shared" si="76"/>
        <v/>
      </c>
      <c r="K1015" t="str">
        <f t="shared" si="77"/>
        <v/>
      </c>
    </row>
    <row r="1016" spans="6:11">
      <c r="F1016" t="str">
        <f>IF(B1016="Egg Shop","",IF(J1016="","",IFERROR(LOOKUP(2,1/(Purchases!$H$3:$H$2002=J1016),Purchases!$F$3:$F$2002),"")))</f>
        <v/>
      </c>
      <c r="G1016" t="str">
        <f t="shared" si="73"/>
        <v/>
      </c>
      <c r="H1016" t="str">
        <f t="shared" si="74"/>
        <v/>
      </c>
      <c r="I1016" t="str">
        <f t="shared" si="75"/>
        <v/>
      </c>
      <c r="J1016" t="str">
        <f t="shared" si="76"/>
        <v/>
      </c>
      <c r="K1016" t="str">
        <f t="shared" si="77"/>
        <v/>
      </c>
    </row>
    <row r="1017" spans="6:11">
      <c r="F1017" t="str">
        <f>IF(B1017="Egg Shop","",IF(J1017="","",IFERROR(LOOKUP(2,1/(Purchases!$H$3:$H$2002=J1017),Purchases!$F$3:$F$2002),"")))</f>
        <v/>
      </c>
      <c r="G1017" t="str">
        <f t="shared" si="73"/>
        <v/>
      </c>
      <c r="H1017" t="str">
        <f t="shared" si="74"/>
        <v/>
      </c>
      <c r="I1017" t="str">
        <f t="shared" si="75"/>
        <v/>
      </c>
      <c r="J1017" t="str">
        <f t="shared" si="76"/>
        <v/>
      </c>
      <c r="K1017" t="str">
        <f t="shared" si="77"/>
        <v/>
      </c>
    </row>
    <row r="1018" spans="6:11">
      <c r="F1018" t="str">
        <f>IF(B1018="Egg Shop","",IF(J1018="","",IFERROR(LOOKUP(2,1/(Purchases!$H$3:$H$2002=J1018),Purchases!$F$3:$F$2002),"")))</f>
        <v/>
      </c>
      <c r="G1018" t="str">
        <f t="shared" si="73"/>
        <v/>
      </c>
      <c r="H1018" t="str">
        <f t="shared" si="74"/>
        <v/>
      </c>
      <c r="I1018" t="str">
        <f t="shared" si="75"/>
        <v/>
      </c>
      <c r="J1018" t="str">
        <f t="shared" si="76"/>
        <v/>
      </c>
      <c r="K1018" t="str">
        <f t="shared" si="77"/>
        <v/>
      </c>
    </row>
    <row r="1019" spans="6:11">
      <c r="F1019" t="str">
        <f>IF(B1019="Egg Shop","",IF(J1019="","",IFERROR(LOOKUP(2,1/(Purchases!$H$3:$H$2002=J1019),Purchases!$F$3:$F$2002),"")))</f>
        <v/>
      </c>
      <c r="G1019" t="str">
        <f t="shared" si="73"/>
        <v/>
      </c>
      <c r="H1019" t="str">
        <f t="shared" si="74"/>
        <v/>
      </c>
      <c r="I1019" t="str">
        <f t="shared" si="75"/>
        <v/>
      </c>
      <c r="J1019" t="str">
        <f t="shared" si="76"/>
        <v/>
      </c>
      <c r="K1019" t="str">
        <f t="shared" si="77"/>
        <v/>
      </c>
    </row>
    <row r="1020" spans="6:11">
      <c r="F1020" t="str">
        <f>IF(B1020="Egg Shop","",IF(J1020="","",IFERROR(LOOKUP(2,1/(Purchases!$H$3:$H$2002=J1020),Purchases!$F$3:$F$2002),"")))</f>
        <v/>
      </c>
      <c r="G1020" t="str">
        <f t="shared" si="73"/>
        <v/>
      </c>
      <c r="H1020" t="str">
        <f t="shared" si="74"/>
        <v/>
      </c>
      <c r="I1020" t="str">
        <f t="shared" si="75"/>
        <v/>
      </c>
      <c r="J1020" t="str">
        <f t="shared" si="76"/>
        <v/>
      </c>
      <c r="K1020" t="str">
        <f t="shared" si="77"/>
        <v/>
      </c>
    </row>
    <row r="1021" spans="6:11">
      <c r="F1021" t="str">
        <f>IF(B1021="Egg Shop","",IF(J1021="","",IFERROR(LOOKUP(2,1/(Purchases!$H$3:$H$2002=J1021),Purchases!$F$3:$F$2002),"")))</f>
        <v/>
      </c>
      <c r="G1021" t="str">
        <f t="shared" si="73"/>
        <v/>
      </c>
      <c r="H1021" t="str">
        <f t="shared" si="74"/>
        <v/>
      </c>
      <c r="I1021" t="str">
        <f t="shared" si="75"/>
        <v/>
      </c>
      <c r="J1021" t="str">
        <f t="shared" si="76"/>
        <v/>
      </c>
      <c r="K1021" t="str">
        <f t="shared" si="77"/>
        <v/>
      </c>
    </row>
    <row r="1022" spans="6:11">
      <c r="F1022" t="str">
        <f>IF(B1022="Egg Shop","",IF(J1022="","",IFERROR(LOOKUP(2,1/(Purchases!$H$3:$H$2002=J1022),Purchases!$F$3:$F$2002),"")))</f>
        <v/>
      </c>
      <c r="G1022" t="str">
        <f t="shared" si="73"/>
        <v/>
      </c>
      <c r="H1022" t="str">
        <f t="shared" si="74"/>
        <v/>
      </c>
      <c r="I1022" t="str">
        <f t="shared" si="75"/>
        <v/>
      </c>
      <c r="J1022" t="str">
        <f t="shared" si="76"/>
        <v/>
      </c>
      <c r="K1022" t="str">
        <f t="shared" si="77"/>
        <v/>
      </c>
    </row>
    <row r="1023" spans="6:11">
      <c r="F1023" t="str">
        <f>IF(B1023="Egg Shop","",IF(J1023="","",IFERROR(LOOKUP(2,1/(Purchases!$H$3:$H$2002=J1023),Purchases!$F$3:$F$2002),"")))</f>
        <v/>
      </c>
      <c r="G1023" t="str">
        <f t="shared" si="73"/>
        <v/>
      </c>
      <c r="H1023" t="str">
        <f t="shared" si="74"/>
        <v/>
      </c>
      <c r="I1023" t="str">
        <f t="shared" si="75"/>
        <v/>
      </c>
      <c r="J1023" t="str">
        <f t="shared" si="76"/>
        <v/>
      </c>
      <c r="K1023" t="str">
        <f t="shared" si="77"/>
        <v/>
      </c>
    </row>
    <row r="1024" spans="6:11">
      <c r="F1024" t="str">
        <f>IF(B1024="Egg Shop","",IF(J1024="","",IFERROR(LOOKUP(2,1/(Purchases!$H$3:$H$2002=J1024),Purchases!$F$3:$F$2002),"")))</f>
        <v/>
      </c>
      <c r="G1024" t="str">
        <f t="shared" si="73"/>
        <v/>
      </c>
      <c r="H1024" t="str">
        <f t="shared" si="74"/>
        <v/>
      </c>
      <c r="I1024" t="str">
        <f t="shared" si="75"/>
        <v/>
      </c>
      <c r="J1024" t="str">
        <f t="shared" si="76"/>
        <v/>
      </c>
      <c r="K1024" t="str">
        <f t="shared" si="77"/>
        <v/>
      </c>
    </row>
    <row r="1025" spans="6:11">
      <c r="F1025" t="str">
        <f>IF(B1025="Egg Shop","",IF(J1025="","",IFERROR(LOOKUP(2,1/(Purchases!$H$3:$H$2002=J1025),Purchases!$F$3:$F$2002),"")))</f>
        <v/>
      </c>
      <c r="G1025" t="str">
        <f t="shared" si="73"/>
        <v/>
      </c>
      <c r="H1025" t="str">
        <f t="shared" si="74"/>
        <v/>
      </c>
      <c r="I1025" t="str">
        <f t="shared" si="75"/>
        <v/>
      </c>
      <c r="J1025" t="str">
        <f t="shared" si="76"/>
        <v/>
      </c>
      <c r="K1025" t="str">
        <f t="shared" si="77"/>
        <v/>
      </c>
    </row>
    <row r="1026" spans="6:11">
      <c r="F1026" t="str">
        <f>IF(B1026="Egg Shop","",IF(J1026="","",IFERROR(LOOKUP(2,1/(Purchases!$H$3:$H$2002=J1026),Purchases!$F$3:$F$2002),"")))</f>
        <v/>
      </c>
      <c r="G1026" t="str">
        <f t="shared" si="73"/>
        <v/>
      </c>
      <c r="H1026" t="str">
        <f t="shared" si="74"/>
        <v/>
      </c>
      <c r="I1026" t="str">
        <f t="shared" si="75"/>
        <v/>
      </c>
      <c r="J1026" t="str">
        <f t="shared" si="76"/>
        <v/>
      </c>
      <c r="K1026" t="str">
        <f t="shared" si="77"/>
        <v/>
      </c>
    </row>
    <row r="1027" spans="6:11">
      <c r="F1027" t="str">
        <f>IF(B1027="Egg Shop","",IF(J1027="","",IFERROR(LOOKUP(2,1/(Purchases!$H$3:$H$2002=J1027),Purchases!$F$3:$F$2002),"")))</f>
        <v/>
      </c>
      <c r="G1027" t="str">
        <f t="shared" ref="G1027:G1090" si="78">IF(OR(D1027="",E1027=""),"",D1027*E1027)</f>
        <v/>
      </c>
      <c r="H1027" t="str">
        <f t="shared" ref="H1027:H1090" si="79">IF(OR(D1027="",F1027=""),"",D1027*F1027)</f>
        <v/>
      </c>
      <c r="I1027" t="str">
        <f t="shared" ref="I1027:I1090" si="80">IF(OR(G1027="",H1027=""),"",G1027-H1027)</f>
        <v/>
      </c>
      <c r="J1027" t="str">
        <f t="shared" ref="J1027:J1090" si="81">IF(OR(B1027="",C1027=""),"",B1027&amp;"|"&amp;C1027)</f>
        <v/>
      </c>
      <c r="K1027" t="str">
        <f t="shared" si="77"/>
        <v/>
      </c>
    </row>
    <row r="1028" spans="6:11">
      <c r="F1028" t="str">
        <f>IF(B1028="Egg Shop","",IF(J1028="","",IFERROR(LOOKUP(2,1/(Purchases!$H$3:$H$2002=J1028),Purchases!$F$3:$F$2002),"")))</f>
        <v/>
      </c>
      <c r="G1028" t="str">
        <f t="shared" si="78"/>
        <v/>
      </c>
      <c r="H1028" t="str">
        <f t="shared" si="79"/>
        <v/>
      </c>
      <c r="I1028" t="str">
        <f t="shared" si="80"/>
        <v/>
      </c>
      <c r="J1028" t="str">
        <f t="shared" si="81"/>
        <v/>
      </c>
      <c r="K1028" t="str">
        <f t="shared" si="77"/>
        <v/>
      </c>
    </row>
    <row r="1029" spans="6:11">
      <c r="F1029" t="str">
        <f>IF(B1029="Egg Shop","",IF(J1029="","",IFERROR(LOOKUP(2,1/(Purchases!$H$3:$H$2002=J1029),Purchases!$F$3:$F$2002),"")))</f>
        <v/>
      </c>
      <c r="G1029" t="str">
        <f t="shared" si="78"/>
        <v/>
      </c>
      <c r="H1029" t="str">
        <f t="shared" si="79"/>
        <v/>
      </c>
      <c r="I1029" t="str">
        <f t="shared" si="80"/>
        <v/>
      </c>
      <c r="J1029" t="str">
        <f t="shared" si="81"/>
        <v/>
      </c>
      <c r="K1029" t="str">
        <f t="shared" si="77"/>
        <v/>
      </c>
    </row>
    <row r="1030" spans="6:11">
      <c r="F1030" t="str">
        <f>IF(B1030="Egg Shop","",IF(J1030="","",IFERROR(LOOKUP(2,1/(Purchases!$H$3:$H$2002=J1030),Purchases!$F$3:$F$2002),"")))</f>
        <v/>
      </c>
      <c r="G1030" t="str">
        <f t="shared" si="78"/>
        <v/>
      </c>
      <c r="H1030" t="str">
        <f t="shared" si="79"/>
        <v/>
      </c>
      <c r="I1030" t="str">
        <f t="shared" si="80"/>
        <v/>
      </c>
      <c r="J1030" t="str">
        <f t="shared" si="81"/>
        <v/>
      </c>
      <c r="K1030" t="str">
        <f t="shared" si="77"/>
        <v/>
      </c>
    </row>
    <row r="1031" spans="6:11">
      <c r="F1031" t="str">
        <f>IF(B1031="Egg Shop","",IF(J1031="","",IFERROR(LOOKUP(2,1/(Purchases!$H$3:$H$2002=J1031),Purchases!$F$3:$F$2002),"")))</f>
        <v/>
      </c>
      <c r="G1031" t="str">
        <f t="shared" si="78"/>
        <v/>
      </c>
      <c r="H1031" t="str">
        <f t="shared" si="79"/>
        <v/>
      </c>
      <c r="I1031" t="str">
        <f t="shared" si="80"/>
        <v/>
      </c>
      <c r="J1031" t="str">
        <f t="shared" si="81"/>
        <v/>
      </c>
      <c r="K1031" t="str">
        <f t="shared" si="77"/>
        <v/>
      </c>
    </row>
    <row r="1032" spans="6:11">
      <c r="F1032" t="str">
        <f>IF(B1032="Egg Shop","",IF(J1032="","",IFERROR(LOOKUP(2,1/(Purchases!$H$3:$H$2002=J1032),Purchases!$F$3:$F$2002),"")))</f>
        <v/>
      </c>
      <c r="G1032" t="str">
        <f t="shared" si="78"/>
        <v/>
      </c>
      <c r="H1032" t="str">
        <f t="shared" si="79"/>
        <v/>
      </c>
      <c r="I1032" t="str">
        <f t="shared" si="80"/>
        <v/>
      </c>
      <c r="J1032" t="str">
        <f t="shared" si="81"/>
        <v/>
      </c>
      <c r="K1032" t="str">
        <f t="shared" si="77"/>
        <v/>
      </c>
    </row>
    <row r="1033" spans="6:11">
      <c r="F1033" t="str">
        <f>IF(B1033="Egg Shop","",IF(J1033="","",IFERROR(LOOKUP(2,1/(Purchases!$H$3:$H$2002=J1033),Purchases!$F$3:$F$2002),"")))</f>
        <v/>
      </c>
      <c r="G1033" t="str">
        <f t="shared" si="78"/>
        <v/>
      </c>
      <c r="H1033" t="str">
        <f t="shared" si="79"/>
        <v/>
      </c>
      <c r="I1033" t="str">
        <f t="shared" si="80"/>
        <v/>
      </c>
      <c r="J1033" t="str">
        <f t="shared" si="81"/>
        <v/>
      </c>
      <c r="K1033" t="str">
        <f t="shared" si="77"/>
        <v/>
      </c>
    </row>
    <row r="1034" spans="6:11">
      <c r="F1034" t="str">
        <f>IF(B1034="Egg Shop","",IF(J1034="","",IFERROR(LOOKUP(2,1/(Purchases!$H$3:$H$2002=J1034),Purchases!$F$3:$F$2002),"")))</f>
        <v/>
      </c>
      <c r="G1034" t="str">
        <f t="shared" si="78"/>
        <v/>
      </c>
      <c r="H1034" t="str">
        <f t="shared" si="79"/>
        <v/>
      </c>
      <c r="I1034" t="str">
        <f t="shared" si="80"/>
        <v/>
      </c>
      <c r="J1034" t="str">
        <f t="shared" si="81"/>
        <v/>
      </c>
      <c r="K1034" t="str">
        <f t="shared" si="77"/>
        <v/>
      </c>
    </row>
    <row r="1035" spans="6:11">
      <c r="F1035" t="str">
        <f>IF(B1035="Egg Shop","",IF(J1035="","",IFERROR(LOOKUP(2,1/(Purchases!$H$3:$H$2002=J1035),Purchases!$F$3:$F$2002),"")))</f>
        <v/>
      </c>
      <c r="G1035" t="str">
        <f t="shared" si="78"/>
        <v/>
      </c>
      <c r="H1035" t="str">
        <f t="shared" si="79"/>
        <v/>
      </c>
      <c r="I1035" t="str">
        <f t="shared" si="80"/>
        <v/>
      </c>
      <c r="J1035" t="str">
        <f t="shared" si="81"/>
        <v/>
      </c>
      <c r="K1035" t="str">
        <f t="shared" si="77"/>
        <v/>
      </c>
    </row>
    <row r="1036" spans="6:11">
      <c r="F1036" t="str">
        <f>IF(B1036="Egg Shop","",IF(J1036="","",IFERROR(LOOKUP(2,1/(Purchases!$H$3:$H$2002=J1036),Purchases!$F$3:$F$2002),"")))</f>
        <v/>
      </c>
      <c r="G1036" t="str">
        <f t="shared" si="78"/>
        <v/>
      </c>
      <c r="H1036" t="str">
        <f t="shared" si="79"/>
        <v/>
      </c>
      <c r="I1036" t="str">
        <f t="shared" si="80"/>
        <v/>
      </c>
      <c r="J1036" t="str">
        <f t="shared" si="81"/>
        <v/>
      </c>
      <c r="K1036" t="str">
        <f t="shared" si="77"/>
        <v/>
      </c>
    </row>
    <row r="1037" spans="6:11">
      <c r="F1037" t="str">
        <f>IF(B1037="Egg Shop","",IF(J1037="","",IFERROR(LOOKUP(2,1/(Purchases!$H$3:$H$2002=J1037),Purchases!$F$3:$F$2002),"")))</f>
        <v/>
      </c>
      <c r="G1037" t="str">
        <f t="shared" si="78"/>
        <v/>
      </c>
      <c r="H1037" t="str">
        <f t="shared" si="79"/>
        <v/>
      </c>
      <c r="I1037" t="str">
        <f t="shared" si="80"/>
        <v/>
      </c>
      <c r="J1037" t="str">
        <f t="shared" si="81"/>
        <v/>
      </c>
      <c r="K1037" t="str">
        <f t="shared" si="77"/>
        <v/>
      </c>
    </row>
    <row r="1038" spans="6:11">
      <c r="F1038" t="str">
        <f>IF(B1038="Egg Shop","",IF(J1038="","",IFERROR(LOOKUP(2,1/(Purchases!$H$3:$H$2002=J1038),Purchases!$F$3:$F$2002),"")))</f>
        <v/>
      </c>
      <c r="G1038" t="str">
        <f t="shared" si="78"/>
        <v/>
      </c>
      <c r="H1038" t="str">
        <f t="shared" si="79"/>
        <v/>
      </c>
      <c r="I1038" t="str">
        <f t="shared" si="80"/>
        <v/>
      </c>
      <c r="J1038" t="str">
        <f t="shared" si="81"/>
        <v/>
      </c>
      <c r="K1038" t="str">
        <f t="shared" si="77"/>
        <v/>
      </c>
    </row>
    <row r="1039" spans="6:11">
      <c r="F1039" t="str">
        <f>IF(B1039="Egg Shop","",IF(J1039="","",IFERROR(LOOKUP(2,1/(Purchases!$H$3:$H$2002=J1039),Purchases!$F$3:$F$2002),"")))</f>
        <v/>
      </c>
      <c r="G1039" t="str">
        <f t="shared" si="78"/>
        <v/>
      </c>
      <c r="H1039" t="str">
        <f t="shared" si="79"/>
        <v/>
      </c>
      <c r="I1039" t="str">
        <f t="shared" si="80"/>
        <v/>
      </c>
      <c r="J1039" t="str">
        <f t="shared" si="81"/>
        <v/>
      </c>
      <c r="K1039" t="str">
        <f t="shared" si="77"/>
        <v/>
      </c>
    </row>
    <row r="1040" spans="6:11">
      <c r="F1040" t="str">
        <f>IF(B1040="Egg Shop","",IF(J1040="","",IFERROR(LOOKUP(2,1/(Purchases!$H$3:$H$2002=J1040),Purchases!$F$3:$F$2002),"")))</f>
        <v/>
      </c>
      <c r="G1040" t="str">
        <f t="shared" si="78"/>
        <v/>
      </c>
      <c r="H1040" t="str">
        <f t="shared" si="79"/>
        <v/>
      </c>
      <c r="I1040" t="str">
        <f t="shared" si="80"/>
        <v/>
      </c>
      <c r="J1040" t="str">
        <f t="shared" si="81"/>
        <v/>
      </c>
      <c r="K1040" t="str">
        <f t="shared" si="77"/>
        <v/>
      </c>
    </row>
    <row r="1041" spans="6:11">
      <c r="F1041" t="str">
        <f>IF(B1041="Egg Shop","",IF(J1041="","",IFERROR(LOOKUP(2,1/(Purchases!$H$3:$H$2002=J1041),Purchases!$F$3:$F$2002),"")))</f>
        <v/>
      </c>
      <c r="G1041" t="str">
        <f t="shared" si="78"/>
        <v/>
      </c>
      <c r="H1041" t="str">
        <f t="shared" si="79"/>
        <v/>
      </c>
      <c r="I1041" t="str">
        <f t="shared" si="80"/>
        <v/>
      </c>
      <c r="J1041" t="str">
        <f t="shared" si="81"/>
        <v/>
      </c>
      <c r="K1041" t="str">
        <f t="shared" si="77"/>
        <v/>
      </c>
    </row>
    <row r="1042" spans="6:11">
      <c r="F1042" t="str">
        <f>IF(B1042="Egg Shop","",IF(J1042="","",IFERROR(LOOKUP(2,1/(Purchases!$H$3:$H$2002=J1042),Purchases!$F$3:$F$2002),"")))</f>
        <v/>
      </c>
      <c r="G1042" t="str">
        <f t="shared" si="78"/>
        <v/>
      </c>
      <c r="H1042" t="str">
        <f t="shared" si="79"/>
        <v/>
      </c>
      <c r="I1042" t="str">
        <f t="shared" si="80"/>
        <v/>
      </c>
      <c r="J1042" t="str">
        <f t="shared" si="81"/>
        <v/>
      </c>
      <c r="K1042" t="str">
        <f t="shared" ref="K1042:K1105" si="82">IF(A1042&lt;&gt;"","Cash","")</f>
        <v/>
      </c>
    </row>
    <row r="1043" spans="6:11">
      <c r="F1043" t="str">
        <f>IF(B1043="Egg Shop","",IF(J1043="","",IFERROR(LOOKUP(2,1/(Purchases!$H$3:$H$2002=J1043),Purchases!$F$3:$F$2002),"")))</f>
        <v/>
      </c>
      <c r="G1043" t="str">
        <f t="shared" si="78"/>
        <v/>
      </c>
      <c r="H1043" t="str">
        <f t="shared" si="79"/>
        <v/>
      </c>
      <c r="I1043" t="str">
        <f t="shared" si="80"/>
        <v/>
      </c>
      <c r="J1043" t="str">
        <f t="shared" si="81"/>
        <v/>
      </c>
      <c r="K1043" t="str">
        <f t="shared" si="82"/>
        <v/>
      </c>
    </row>
    <row r="1044" spans="6:11">
      <c r="F1044" t="str">
        <f>IF(B1044="Egg Shop","",IF(J1044="","",IFERROR(LOOKUP(2,1/(Purchases!$H$3:$H$2002=J1044),Purchases!$F$3:$F$2002),"")))</f>
        <v/>
      </c>
      <c r="G1044" t="str">
        <f t="shared" si="78"/>
        <v/>
      </c>
      <c r="H1044" t="str">
        <f t="shared" si="79"/>
        <v/>
      </c>
      <c r="I1044" t="str">
        <f t="shared" si="80"/>
        <v/>
      </c>
      <c r="J1044" t="str">
        <f t="shared" si="81"/>
        <v/>
      </c>
      <c r="K1044" t="str">
        <f t="shared" si="82"/>
        <v/>
      </c>
    </row>
    <row r="1045" spans="6:11">
      <c r="F1045" t="str">
        <f>IF(B1045="Egg Shop","",IF(J1045="","",IFERROR(LOOKUP(2,1/(Purchases!$H$3:$H$2002=J1045),Purchases!$F$3:$F$2002),"")))</f>
        <v/>
      </c>
      <c r="G1045" t="str">
        <f t="shared" si="78"/>
        <v/>
      </c>
      <c r="H1045" t="str">
        <f t="shared" si="79"/>
        <v/>
      </c>
      <c r="I1045" t="str">
        <f t="shared" si="80"/>
        <v/>
      </c>
      <c r="J1045" t="str">
        <f t="shared" si="81"/>
        <v/>
      </c>
      <c r="K1045" t="str">
        <f t="shared" si="82"/>
        <v/>
      </c>
    </row>
    <row r="1046" spans="6:11">
      <c r="F1046" t="str">
        <f>IF(B1046="Egg Shop","",IF(J1046="","",IFERROR(LOOKUP(2,1/(Purchases!$H$3:$H$2002=J1046),Purchases!$F$3:$F$2002),"")))</f>
        <v/>
      </c>
      <c r="G1046" t="str">
        <f t="shared" si="78"/>
        <v/>
      </c>
      <c r="H1046" t="str">
        <f t="shared" si="79"/>
        <v/>
      </c>
      <c r="I1046" t="str">
        <f t="shared" si="80"/>
        <v/>
      </c>
      <c r="J1046" t="str">
        <f t="shared" si="81"/>
        <v/>
      </c>
      <c r="K1046" t="str">
        <f t="shared" si="82"/>
        <v/>
      </c>
    </row>
    <row r="1047" spans="6:11">
      <c r="F1047" t="str">
        <f>IF(B1047="Egg Shop","",IF(J1047="","",IFERROR(LOOKUP(2,1/(Purchases!$H$3:$H$2002=J1047),Purchases!$F$3:$F$2002),"")))</f>
        <v/>
      </c>
      <c r="G1047" t="str">
        <f t="shared" si="78"/>
        <v/>
      </c>
      <c r="H1047" t="str">
        <f t="shared" si="79"/>
        <v/>
      </c>
      <c r="I1047" t="str">
        <f t="shared" si="80"/>
        <v/>
      </c>
      <c r="J1047" t="str">
        <f t="shared" si="81"/>
        <v/>
      </c>
      <c r="K1047" t="str">
        <f t="shared" si="82"/>
        <v/>
      </c>
    </row>
    <row r="1048" spans="6:11">
      <c r="F1048" t="str">
        <f>IF(B1048="Egg Shop","",IF(J1048="","",IFERROR(LOOKUP(2,1/(Purchases!$H$3:$H$2002=J1048),Purchases!$F$3:$F$2002),"")))</f>
        <v/>
      </c>
      <c r="G1048" t="str">
        <f t="shared" si="78"/>
        <v/>
      </c>
      <c r="H1048" t="str">
        <f t="shared" si="79"/>
        <v/>
      </c>
      <c r="I1048" t="str">
        <f t="shared" si="80"/>
        <v/>
      </c>
      <c r="J1048" t="str">
        <f t="shared" si="81"/>
        <v/>
      </c>
      <c r="K1048" t="str">
        <f t="shared" si="82"/>
        <v/>
      </c>
    </row>
    <row r="1049" spans="6:11">
      <c r="F1049" t="str">
        <f>IF(B1049="Egg Shop","",IF(J1049="","",IFERROR(LOOKUP(2,1/(Purchases!$H$3:$H$2002=J1049),Purchases!$F$3:$F$2002),"")))</f>
        <v/>
      </c>
      <c r="G1049" t="str">
        <f t="shared" si="78"/>
        <v/>
      </c>
      <c r="H1049" t="str">
        <f t="shared" si="79"/>
        <v/>
      </c>
      <c r="I1049" t="str">
        <f t="shared" si="80"/>
        <v/>
      </c>
      <c r="J1049" t="str">
        <f t="shared" si="81"/>
        <v/>
      </c>
      <c r="K1049" t="str">
        <f t="shared" si="82"/>
        <v/>
      </c>
    </row>
    <row r="1050" spans="6:11">
      <c r="F1050" t="str">
        <f>IF(B1050="Egg Shop","",IF(J1050="","",IFERROR(LOOKUP(2,1/(Purchases!$H$3:$H$2002=J1050),Purchases!$F$3:$F$2002),"")))</f>
        <v/>
      </c>
      <c r="G1050" t="str">
        <f t="shared" si="78"/>
        <v/>
      </c>
      <c r="H1050" t="str">
        <f t="shared" si="79"/>
        <v/>
      </c>
      <c r="I1050" t="str">
        <f t="shared" si="80"/>
        <v/>
      </c>
      <c r="J1050" t="str">
        <f t="shared" si="81"/>
        <v/>
      </c>
      <c r="K1050" t="str">
        <f t="shared" si="82"/>
        <v/>
      </c>
    </row>
    <row r="1051" spans="6:11">
      <c r="F1051" t="str">
        <f>IF(B1051="Egg Shop","",IF(J1051="","",IFERROR(LOOKUP(2,1/(Purchases!$H$3:$H$2002=J1051),Purchases!$F$3:$F$2002),"")))</f>
        <v/>
      </c>
      <c r="G1051" t="str">
        <f t="shared" si="78"/>
        <v/>
      </c>
      <c r="H1051" t="str">
        <f t="shared" si="79"/>
        <v/>
      </c>
      <c r="I1051" t="str">
        <f t="shared" si="80"/>
        <v/>
      </c>
      <c r="J1051" t="str">
        <f t="shared" si="81"/>
        <v/>
      </c>
      <c r="K1051" t="str">
        <f t="shared" si="82"/>
        <v/>
      </c>
    </row>
    <row r="1052" spans="6:11">
      <c r="F1052" t="str">
        <f>IF(B1052="Egg Shop","",IF(J1052="","",IFERROR(LOOKUP(2,1/(Purchases!$H$3:$H$2002=J1052),Purchases!$F$3:$F$2002),"")))</f>
        <v/>
      </c>
      <c r="G1052" t="str">
        <f t="shared" si="78"/>
        <v/>
      </c>
      <c r="H1052" t="str">
        <f t="shared" si="79"/>
        <v/>
      </c>
      <c r="I1052" t="str">
        <f t="shared" si="80"/>
        <v/>
      </c>
      <c r="J1052" t="str">
        <f t="shared" si="81"/>
        <v/>
      </c>
      <c r="K1052" t="str">
        <f t="shared" si="82"/>
        <v/>
      </c>
    </row>
    <row r="1053" spans="6:11">
      <c r="F1053" t="str">
        <f>IF(B1053="Egg Shop","",IF(J1053="","",IFERROR(LOOKUP(2,1/(Purchases!$H$3:$H$2002=J1053),Purchases!$F$3:$F$2002),"")))</f>
        <v/>
      </c>
      <c r="G1053" t="str">
        <f t="shared" si="78"/>
        <v/>
      </c>
      <c r="H1053" t="str">
        <f t="shared" si="79"/>
        <v/>
      </c>
      <c r="I1053" t="str">
        <f t="shared" si="80"/>
        <v/>
      </c>
      <c r="J1053" t="str">
        <f t="shared" si="81"/>
        <v/>
      </c>
      <c r="K1053" t="str">
        <f t="shared" si="82"/>
        <v/>
      </c>
    </row>
    <row r="1054" spans="6:11">
      <c r="F1054" t="str">
        <f>IF(B1054="Egg Shop","",IF(J1054="","",IFERROR(LOOKUP(2,1/(Purchases!$H$3:$H$2002=J1054),Purchases!$F$3:$F$2002),"")))</f>
        <v/>
      </c>
      <c r="G1054" t="str">
        <f t="shared" si="78"/>
        <v/>
      </c>
      <c r="H1054" t="str">
        <f t="shared" si="79"/>
        <v/>
      </c>
      <c r="I1054" t="str">
        <f t="shared" si="80"/>
        <v/>
      </c>
      <c r="J1054" t="str">
        <f t="shared" si="81"/>
        <v/>
      </c>
      <c r="K1054" t="str">
        <f t="shared" si="82"/>
        <v/>
      </c>
    </row>
    <row r="1055" spans="6:11">
      <c r="F1055" t="str">
        <f>IF(B1055="Egg Shop","",IF(J1055="","",IFERROR(LOOKUP(2,1/(Purchases!$H$3:$H$2002=J1055),Purchases!$F$3:$F$2002),"")))</f>
        <v/>
      </c>
      <c r="G1055" t="str">
        <f t="shared" si="78"/>
        <v/>
      </c>
      <c r="H1055" t="str">
        <f t="shared" si="79"/>
        <v/>
      </c>
      <c r="I1055" t="str">
        <f t="shared" si="80"/>
        <v/>
      </c>
      <c r="J1055" t="str">
        <f t="shared" si="81"/>
        <v/>
      </c>
      <c r="K1055" t="str">
        <f t="shared" si="82"/>
        <v/>
      </c>
    </row>
    <row r="1056" spans="6:11">
      <c r="F1056" t="str">
        <f>IF(B1056="Egg Shop","",IF(J1056="","",IFERROR(LOOKUP(2,1/(Purchases!$H$3:$H$2002=J1056),Purchases!$F$3:$F$2002),"")))</f>
        <v/>
      </c>
      <c r="G1056" t="str">
        <f t="shared" si="78"/>
        <v/>
      </c>
      <c r="H1056" t="str">
        <f t="shared" si="79"/>
        <v/>
      </c>
      <c r="I1056" t="str">
        <f t="shared" si="80"/>
        <v/>
      </c>
      <c r="J1056" t="str">
        <f t="shared" si="81"/>
        <v/>
      </c>
      <c r="K1056" t="str">
        <f t="shared" si="82"/>
        <v/>
      </c>
    </row>
    <row r="1057" spans="6:11">
      <c r="F1057" t="str">
        <f>IF(B1057="Egg Shop","",IF(J1057="","",IFERROR(LOOKUP(2,1/(Purchases!$H$3:$H$2002=J1057),Purchases!$F$3:$F$2002),"")))</f>
        <v/>
      </c>
      <c r="G1057" t="str">
        <f t="shared" si="78"/>
        <v/>
      </c>
      <c r="H1057" t="str">
        <f t="shared" si="79"/>
        <v/>
      </c>
      <c r="I1057" t="str">
        <f t="shared" si="80"/>
        <v/>
      </c>
      <c r="J1057" t="str">
        <f t="shared" si="81"/>
        <v/>
      </c>
      <c r="K1057" t="str">
        <f t="shared" si="82"/>
        <v/>
      </c>
    </row>
    <row r="1058" spans="6:11">
      <c r="F1058" t="str">
        <f>IF(B1058="Egg Shop","",IF(J1058="","",IFERROR(LOOKUP(2,1/(Purchases!$H$3:$H$2002=J1058),Purchases!$F$3:$F$2002),"")))</f>
        <v/>
      </c>
      <c r="G1058" t="str">
        <f t="shared" si="78"/>
        <v/>
      </c>
      <c r="H1058" t="str">
        <f t="shared" si="79"/>
        <v/>
      </c>
      <c r="I1058" t="str">
        <f t="shared" si="80"/>
        <v/>
      </c>
      <c r="J1058" t="str">
        <f t="shared" si="81"/>
        <v/>
      </c>
      <c r="K1058" t="str">
        <f t="shared" si="82"/>
        <v/>
      </c>
    </row>
    <row r="1059" spans="6:11">
      <c r="F1059" t="str">
        <f>IF(B1059="Egg Shop","",IF(J1059="","",IFERROR(LOOKUP(2,1/(Purchases!$H$3:$H$2002=J1059),Purchases!$F$3:$F$2002),"")))</f>
        <v/>
      </c>
      <c r="G1059" t="str">
        <f t="shared" si="78"/>
        <v/>
      </c>
      <c r="H1059" t="str">
        <f t="shared" si="79"/>
        <v/>
      </c>
      <c r="I1059" t="str">
        <f t="shared" si="80"/>
        <v/>
      </c>
      <c r="J1059" t="str">
        <f t="shared" si="81"/>
        <v/>
      </c>
      <c r="K1059" t="str">
        <f t="shared" si="82"/>
        <v/>
      </c>
    </row>
    <row r="1060" spans="6:11">
      <c r="F1060" t="str">
        <f>IF(B1060="Egg Shop","",IF(J1060="","",IFERROR(LOOKUP(2,1/(Purchases!$H$3:$H$2002=J1060),Purchases!$F$3:$F$2002),"")))</f>
        <v/>
      </c>
      <c r="G1060" t="str">
        <f t="shared" si="78"/>
        <v/>
      </c>
      <c r="H1060" t="str">
        <f t="shared" si="79"/>
        <v/>
      </c>
      <c r="I1060" t="str">
        <f t="shared" si="80"/>
        <v/>
      </c>
      <c r="J1060" t="str">
        <f t="shared" si="81"/>
        <v/>
      </c>
      <c r="K1060" t="str">
        <f t="shared" si="82"/>
        <v/>
      </c>
    </row>
    <row r="1061" spans="6:11">
      <c r="F1061" t="str">
        <f>IF(B1061="Egg Shop","",IF(J1061="","",IFERROR(LOOKUP(2,1/(Purchases!$H$3:$H$2002=J1061),Purchases!$F$3:$F$2002),"")))</f>
        <v/>
      </c>
      <c r="G1061" t="str">
        <f t="shared" si="78"/>
        <v/>
      </c>
      <c r="H1061" t="str">
        <f t="shared" si="79"/>
        <v/>
      </c>
      <c r="I1061" t="str">
        <f t="shared" si="80"/>
        <v/>
      </c>
      <c r="J1061" t="str">
        <f t="shared" si="81"/>
        <v/>
      </c>
      <c r="K1061" t="str">
        <f t="shared" si="82"/>
        <v/>
      </c>
    </row>
    <row r="1062" spans="6:11">
      <c r="F1062" t="str">
        <f>IF(B1062="Egg Shop","",IF(J1062="","",IFERROR(LOOKUP(2,1/(Purchases!$H$3:$H$2002=J1062),Purchases!$F$3:$F$2002),"")))</f>
        <v/>
      </c>
      <c r="G1062" t="str">
        <f t="shared" si="78"/>
        <v/>
      </c>
      <c r="H1062" t="str">
        <f t="shared" si="79"/>
        <v/>
      </c>
      <c r="I1062" t="str">
        <f t="shared" si="80"/>
        <v/>
      </c>
      <c r="J1062" t="str">
        <f t="shared" si="81"/>
        <v/>
      </c>
      <c r="K1062" t="str">
        <f t="shared" si="82"/>
        <v/>
      </c>
    </row>
    <row r="1063" spans="6:11">
      <c r="F1063" t="str">
        <f>IF(B1063="Egg Shop","",IF(J1063="","",IFERROR(LOOKUP(2,1/(Purchases!$H$3:$H$2002=J1063),Purchases!$F$3:$F$2002),"")))</f>
        <v/>
      </c>
      <c r="G1063" t="str">
        <f t="shared" si="78"/>
        <v/>
      </c>
      <c r="H1063" t="str">
        <f t="shared" si="79"/>
        <v/>
      </c>
      <c r="I1063" t="str">
        <f t="shared" si="80"/>
        <v/>
      </c>
      <c r="J1063" t="str">
        <f t="shared" si="81"/>
        <v/>
      </c>
      <c r="K1063" t="str">
        <f t="shared" si="82"/>
        <v/>
      </c>
    </row>
    <row r="1064" spans="6:11">
      <c r="F1064" t="str">
        <f>IF(B1064="Egg Shop","",IF(J1064="","",IFERROR(LOOKUP(2,1/(Purchases!$H$3:$H$2002=J1064),Purchases!$F$3:$F$2002),"")))</f>
        <v/>
      </c>
      <c r="G1064" t="str">
        <f t="shared" si="78"/>
        <v/>
      </c>
      <c r="H1064" t="str">
        <f t="shared" si="79"/>
        <v/>
      </c>
      <c r="I1064" t="str">
        <f t="shared" si="80"/>
        <v/>
      </c>
      <c r="J1064" t="str">
        <f t="shared" si="81"/>
        <v/>
      </c>
      <c r="K1064" t="str">
        <f t="shared" si="82"/>
        <v/>
      </c>
    </row>
    <row r="1065" spans="6:11">
      <c r="F1065" t="str">
        <f>IF(B1065="Egg Shop","",IF(J1065="","",IFERROR(LOOKUP(2,1/(Purchases!$H$3:$H$2002=J1065),Purchases!$F$3:$F$2002),"")))</f>
        <v/>
      </c>
      <c r="G1065" t="str">
        <f t="shared" si="78"/>
        <v/>
      </c>
      <c r="H1065" t="str">
        <f t="shared" si="79"/>
        <v/>
      </c>
      <c r="I1065" t="str">
        <f t="shared" si="80"/>
        <v/>
      </c>
      <c r="J1065" t="str">
        <f t="shared" si="81"/>
        <v/>
      </c>
      <c r="K1065" t="str">
        <f t="shared" si="82"/>
        <v/>
      </c>
    </row>
    <row r="1066" spans="6:11">
      <c r="F1066" t="str">
        <f>IF(B1066="Egg Shop","",IF(J1066="","",IFERROR(LOOKUP(2,1/(Purchases!$H$3:$H$2002=J1066),Purchases!$F$3:$F$2002),"")))</f>
        <v/>
      </c>
      <c r="G1066" t="str">
        <f t="shared" si="78"/>
        <v/>
      </c>
      <c r="H1066" t="str">
        <f t="shared" si="79"/>
        <v/>
      </c>
      <c r="I1066" t="str">
        <f t="shared" si="80"/>
        <v/>
      </c>
      <c r="J1066" t="str">
        <f t="shared" si="81"/>
        <v/>
      </c>
      <c r="K1066" t="str">
        <f t="shared" si="82"/>
        <v/>
      </c>
    </row>
    <row r="1067" spans="6:11">
      <c r="F1067" t="str">
        <f>IF(B1067="Egg Shop","",IF(J1067="","",IFERROR(LOOKUP(2,1/(Purchases!$H$3:$H$2002=J1067),Purchases!$F$3:$F$2002),"")))</f>
        <v/>
      </c>
      <c r="G1067" t="str">
        <f t="shared" si="78"/>
        <v/>
      </c>
      <c r="H1067" t="str">
        <f t="shared" si="79"/>
        <v/>
      </c>
      <c r="I1067" t="str">
        <f t="shared" si="80"/>
        <v/>
      </c>
      <c r="J1067" t="str">
        <f t="shared" si="81"/>
        <v/>
      </c>
      <c r="K1067" t="str">
        <f t="shared" si="82"/>
        <v/>
      </c>
    </row>
    <row r="1068" spans="6:11">
      <c r="F1068" t="str">
        <f>IF(B1068="Egg Shop","",IF(J1068="","",IFERROR(LOOKUP(2,1/(Purchases!$H$3:$H$2002=J1068),Purchases!$F$3:$F$2002),"")))</f>
        <v/>
      </c>
      <c r="G1068" t="str">
        <f t="shared" si="78"/>
        <v/>
      </c>
      <c r="H1068" t="str">
        <f t="shared" si="79"/>
        <v/>
      </c>
      <c r="I1068" t="str">
        <f t="shared" si="80"/>
        <v/>
      </c>
      <c r="J1068" t="str">
        <f t="shared" si="81"/>
        <v/>
      </c>
      <c r="K1068" t="str">
        <f t="shared" si="82"/>
        <v/>
      </c>
    </row>
    <row r="1069" spans="6:11">
      <c r="F1069" t="str">
        <f>IF(B1069="Egg Shop","",IF(J1069="","",IFERROR(LOOKUP(2,1/(Purchases!$H$3:$H$2002=J1069),Purchases!$F$3:$F$2002),"")))</f>
        <v/>
      </c>
      <c r="G1069" t="str">
        <f t="shared" si="78"/>
        <v/>
      </c>
      <c r="H1069" t="str">
        <f t="shared" si="79"/>
        <v/>
      </c>
      <c r="I1069" t="str">
        <f t="shared" si="80"/>
        <v/>
      </c>
      <c r="J1069" t="str">
        <f t="shared" si="81"/>
        <v/>
      </c>
      <c r="K1069" t="str">
        <f t="shared" si="82"/>
        <v/>
      </c>
    </row>
    <row r="1070" spans="6:11">
      <c r="F1070" t="str">
        <f>IF(B1070="Egg Shop","",IF(J1070="","",IFERROR(LOOKUP(2,1/(Purchases!$H$3:$H$2002=J1070),Purchases!$F$3:$F$2002),"")))</f>
        <v/>
      </c>
      <c r="G1070" t="str">
        <f t="shared" si="78"/>
        <v/>
      </c>
      <c r="H1070" t="str">
        <f t="shared" si="79"/>
        <v/>
      </c>
      <c r="I1070" t="str">
        <f t="shared" si="80"/>
        <v/>
      </c>
      <c r="J1070" t="str">
        <f t="shared" si="81"/>
        <v/>
      </c>
      <c r="K1070" t="str">
        <f t="shared" si="82"/>
        <v/>
      </c>
    </row>
    <row r="1071" spans="6:11">
      <c r="F1071" t="str">
        <f>IF(B1071="Egg Shop","",IF(J1071="","",IFERROR(LOOKUP(2,1/(Purchases!$H$3:$H$2002=J1071),Purchases!$F$3:$F$2002),"")))</f>
        <v/>
      </c>
      <c r="G1071" t="str">
        <f t="shared" si="78"/>
        <v/>
      </c>
      <c r="H1071" t="str">
        <f t="shared" si="79"/>
        <v/>
      </c>
      <c r="I1071" t="str">
        <f t="shared" si="80"/>
        <v/>
      </c>
      <c r="J1071" t="str">
        <f t="shared" si="81"/>
        <v/>
      </c>
      <c r="K1071" t="str">
        <f t="shared" si="82"/>
        <v/>
      </c>
    </row>
    <row r="1072" spans="6:11">
      <c r="F1072" t="str">
        <f>IF(B1072="Egg Shop","",IF(J1072="","",IFERROR(LOOKUP(2,1/(Purchases!$H$3:$H$2002=J1072),Purchases!$F$3:$F$2002),"")))</f>
        <v/>
      </c>
      <c r="G1072" t="str">
        <f t="shared" si="78"/>
        <v/>
      </c>
      <c r="H1072" t="str">
        <f t="shared" si="79"/>
        <v/>
      </c>
      <c r="I1072" t="str">
        <f t="shared" si="80"/>
        <v/>
      </c>
      <c r="J1072" t="str">
        <f t="shared" si="81"/>
        <v/>
      </c>
      <c r="K1072" t="str">
        <f t="shared" si="82"/>
        <v/>
      </c>
    </row>
    <row r="1073" spans="6:11">
      <c r="F1073" t="str">
        <f>IF(B1073="Egg Shop","",IF(J1073="","",IFERROR(LOOKUP(2,1/(Purchases!$H$3:$H$2002=J1073),Purchases!$F$3:$F$2002),"")))</f>
        <v/>
      </c>
      <c r="G1073" t="str">
        <f t="shared" si="78"/>
        <v/>
      </c>
      <c r="H1073" t="str">
        <f t="shared" si="79"/>
        <v/>
      </c>
      <c r="I1073" t="str">
        <f t="shared" si="80"/>
        <v/>
      </c>
      <c r="J1073" t="str">
        <f t="shared" si="81"/>
        <v/>
      </c>
      <c r="K1073" t="str">
        <f t="shared" si="82"/>
        <v/>
      </c>
    </row>
    <row r="1074" spans="6:11">
      <c r="F1074" t="str">
        <f>IF(B1074="Egg Shop","",IF(J1074="","",IFERROR(LOOKUP(2,1/(Purchases!$H$3:$H$2002=J1074),Purchases!$F$3:$F$2002),"")))</f>
        <v/>
      </c>
      <c r="G1074" t="str">
        <f t="shared" si="78"/>
        <v/>
      </c>
      <c r="H1074" t="str">
        <f t="shared" si="79"/>
        <v/>
      </c>
      <c r="I1074" t="str">
        <f t="shared" si="80"/>
        <v/>
      </c>
      <c r="J1074" t="str">
        <f t="shared" si="81"/>
        <v/>
      </c>
      <c r="K1074" t="str">
        <f t="shared" si="82"/>
        <v/>
      </c>
    </row>
    <row r="1075" spans="6:11">
      <c r="F1075" t="str">
        <f>IF(B1075="Egg Shop","",IF(J1075="","",IFERROR(LOOKUP(2,1/(Purchases!$H$3:$H$2002=J1075),Purchases!$F$3:$F$2002),"")))</f>
        <v/>
      </c>
      <c r="G1075" t="str">
        <f t="shared" si="78"/>
        <v/>
      </c>
      <c r="H1075" t="str">
        <f t="shared" si="79"/>
        <v/>
      </c>
      <c r="I1075" t="str">
        <f t="shared" si="80"/>
        <v/>
      </c>
      <c r="J1075" t="str">
        <f t="shared" si="81"/>
        <v/>
      </c>
      <c r="K1075" t="str">
        <f t="shared" si="82"/>
        <v/>
      </c>
    </row>
    <row r="1076" spans="6:11">
      <c r="F1076" t="str">
        <f>IF(B1076="Egg Shop","",IF(J1076="","",IFERROR(LOOKUP(2,1/(Purchases!$H$3:$H$2002=J1076),Purchases!$F$3:$F$2002),"")))</f>
        <v/>
      </c>
      <c r="G1076" t="str">
        <f t="shared" si="78"/>
        <v/>
      </c>
      <c r="H1076" t="str">
        <f t="shared" si="79"/>
        <v/>
      </c>
      <c r="I1076" t="str">
        <f t="shared" si="80"/>
        <v/>
      </c>
      <c r="J1076" t="str">
        <f t="shared" si="81"/>
        <v/>
      </c>
      <c r="K1076" t="str">
        <f t="shared" si="82"/>
        <v/>
      </c>
    </row>
    <row r="1077" spans="6:11">
      <c r="F1077" t="str">
        <f>IF(B1077="Egg Shop","",IF(J1077="","",IFERROR(LOOKUP(2,1/(Purchases!$H$3:$H$2002=J1077),Purchases!$F$3:$F$2002),"")))</f>
        <v/>
      </c>
      <c r="G1077" t="str">
        <f t="shared" si="78"/>
        <v/>
      </c>
      <c r="H1077" t="str">
        <f t="shared" si="79"/>
        <v/>
      </c>
      <c r="I1077" t="str">
        <f t="shared" si="80"/>
        <v/>
      </c>
      <c r="J1077" t="str">
        <f t="shared" si="81"/>
        <v/>
      </c>
      <c r="K1077" t="str">
        <f t="shared" si="82"/>
        <v/>
      </c>
    </row>
    <row r="1078" spans="6:11">
      <c r="F1078" t="str">
        <f>IF(B1078="Egg Shop","",IF(J1078="","",IFERROR(LOOKUP(2,1/(Purchases!$H$3:$H$2002=J1078),Purchases!$F$3:$F$2002),"")))</f>
        <v/>
      </c>
      <c r="G1078" t="str">
        <f t="shared" si="78"/>
        <v/>
      </c>
      <c r="H1078" t="str">
        <f t="shared" si="79"/>
        <v/>
      </c>
      <c r="I1078" t="str">
        <f t="shared" si="80"/>
        <v/>
      </c>
      <c r="J1078" t="str">
        <f t="shared" si="81"/>
        <v/>
      </c>
      <c r="K1078" t="str">
        <f t="shared" si="82"/>
        <v/>
      </c>
    </row>
    <row r="1079" spans="6:11">
      <c r="F1079" t="str">
        <f>IF(B1079="Egg Shop","",IF(J1079="","",IFERROR(LOOKUP(2,1/(Purchases!$H$3:$H$2002=J1079),Purchases!$F$3:$F$2002),"")))</f>
        <v/>
      </c>
      <c r="G1079" t="str">
        <f t="shared" si="78"/>
        <v/>
      </c>
      <c r="H1079" t="str">
        <f t="shared" si="79"/>
        <v/>
      </c>
      <c r="I1079" t="str">
        <f t="shared" si="80"/>
        <v/>
      </c>
      <c r="J1079" t="str">
        <f t="shared" si="81"/>
        <v/>
      </c>
      <c r="K1079" t="str">
        <f t="shared" si="82"/>
        <v/>
      </c>
    </row>
    <row r="1080" spans="6:11">
      <c r="F1080" t="str">
        <f>IF(B1080="Egg Shop","",IF(J1080="","",IFERROR(LOOKUP(2,1/(Purchases!$H$3:$H$2002=J1080),Purchases!$F$3:$F$2002),"")))</f>
        <v/>
      </c>
      <c r="G1080" t="str">
        <f t="shared" si="78"/>
        <v/>
      </c>
      <c r="H1080" t="str">
        <f t="shared" si="79"/>
        <v/>
      </c>
      <c r="I1080" t="str">
        <f t="shared" si="80"/>
        <v/>
      </c>
      <c r="J1080" t="str">
        <f t="shared" si="81"/>
        <v/>
      </c>
      <c r="K1080" t="str">
        <f t="shared" si="82"/>
        <v/>
      </c>
    </row>
    <row r="1081" spans="6:11">
      <c r="F1081" t="str">
        <f>IF(B1081="Egg Shop","",IF(J1081="","",IFERROR(LOOKUP(2,1/(Purchases!$H$3:$H$2002=J1081),Purchases!$F$3:$F$2002),"")))</f>
        <v/>
      </c>
      <c r="G1081" t="str">
        <f t="shared" si="78"/>
        <v/>
      </c>
      <c r="H1081" t="str">
        <f t="shared" si="79"/>
        <v/>
      </c>
      <c r="I1081" t="str">
        <f t="shared" si="80"/>
        <v/>
      </c>
      <c r="J1081" t="str">
        <f t="shared" si="81"/>
        <v/>
      </c>
      <c r="K1081" t="str">
        <f t="shared" si="82"/>
        <v/>
      </c>
    </row>
    <row r="1082" spans="6:11">
      <c r="F1082" t="str">
        <f>IF(B1082="Egg Shop","",IF(J1082="","",IFERROR(LOOKUP(2,1/(Purchases!$H$3:$H$2002=J1082),Purchases!$F$3:$F$2002),"")))</f>
        <v/>
      </c>
      <c r="G1082" t="str">
        <f t="shared" si="78"/>
        <v/>
      </c>
      <c r="H1082" t="str">
        <f t="shared" si="79"/>
        <v/>
      </c>
      <c r="I1082" t="str">
        <f t="shared" si="80"/>
        <v/>
      </c>
      <c r="J1082" t="str">
        <f t="shared" si="81"/>
        <v/>
      </c>
      <c r="K1082" t="str">
        <f t="shared" si="82"/>
        <v/>
      </c>
    </row>
    <row r="1083" spans="6:11">
      <c r="F1083" t="str">
        <f>IF(B1083="Egg Shop","",IF(J1083="","",IFERROR(LOOKUP(2,1/(Purchases!$H$3:$H$2002=J1083),Purchases!$F$3:$F$2002),"")))</f>
        <v/>
      </c>
      <c r="G1083" t="str">
        <f t="shared" si="78"/>
        <v/>
      </c>
      <c r="H1083" t="str">
        <f t="shared" si="79"/>
        <v/>
      </c>
      <c r="I1083" t="str">
        <f t="shared" si="80"/>
        <v/>
      </c>
      <c r="J1083" t="str">
        <f t="shared" si="81"/>
        <v/>
      </c>
      <c r="K1083" t="str">
        <f t="shared" si="82"/>
        <v/>
      </c>
    </row>
    <row r="1084" spans="6:11">
      <c r="F1084" t="str">
        <f>IF(B1084="Egg Shop","",IF(J1084="","",IFERROR(LOOKUP(2,1/(Purchases!$H$3:$H$2002=J1084),Purchases!$F$3:$F$2002),"")))</f>
        <v/>
      </c>
      <c r="G1084" t="str">
        <f t="shared" si="78"/>
        <v/>
      </c>
      <c r="H1084" t="str">
        <f t="shared" si="79"/>
        <v/>
      </c>
      <c r="I1084" t="str">
        <f t="shared" si="80"/>
        <v/>
      </c>
      <c r="J1084" t="str">
        <f t="shared" si="81"/>
        <v/>
      </c>
      <c r="K1084" t="str">
        <f t="shared" si="82"/>
        <v/>
      </c>
    </row>
    <row r="1085" spans="6:11">
      <c r="F1085" t="str">
        <f>IF(B1085="Egg Shop","",IF(J1085="","",IFERROR(LOOKUP(2,1/(Purchases!$H$3:$H$2002=J1085),Purchases!$F$3:$F$2002),"")))</f>
        <v/>
      </c>
      <c r="G1085" t="str">
        <f t="shared" si="78"/>
        <v/>
      </c>
      <c r="H1085" t="str">
        <f t="shared" si="79"/>
        <v/>
      </c>
      <c r="I1085" t="str">
        <f t="shared" si="80"/>
        <v/>
      </c>
      <c r="J1085" t="str">
        <f t="shared" si="81"/>
        <v/>
      </c>
      <c r="K1085" t="str">
        <f t="shared" si="82"/>
        <v/>
      </c>
    </row>
    <row r="1086" spans="6:11">
      <c r="F1086" t="str">
        <f>IF(B1086="Egg Shop","",IF(J1086="","",IFERROR(LOOKUP(2,1/(Purchases!$H$3:$H$2002=J1086),Purchases!$F$3:$F$2002),"")))</f>
        <v/>
      </c>
      <c r="G1086" t="str">
        <f t="shared" si="78"/>
        <v/>
      </c>
      <c r="H1086" t="str">
        <f t="shared" si="79"/>
        <v/>
      </c>
      <c r="I1086" t="str">
        <f t="shared" si="80"/>
        <v/>
      </c>
      <c r="J1086" t="str">
        <f t="shared" si="81"/>
        <v/>
      </c>
      <c r="K1086" t="str">
        <f t="shared" si="82"/>
        <v/>
      </c>
    </row>
    <row r="1087" spans="6:11">
      <c r="F1087" t="str">
        <f>IF(B1087="Egg Shop","",IF(J1087="","",IFERROR(LOOKUP(2,1/(Purchases!$H$3:$H$2002=J1087),Purchases!$F$3:$F$2002),"")))</f>
        <v/>
      </c>
      <c r="G1087" t="str">
        <f t="shared" si="78"/>
        <v/>
      </c>
      <c r="H1087" t="str">
        <f t="shared" si="79"/>
        <v/>
      </c>
      <c r="I1087" t="str">
        <f t="shared" si="80"/>
        <v/>
      </c>
      <c r="J1087" t="str">
        <f t="shared" si="81"/>
        <v/>
      </c>
      <c r="K1087" t="str">
        <f t="shared" si="82"/>
        <v/>
      </c>
    </row>
    <row r="1088" spans="6:11">
      <c r="F1088" t="str">
        <f>IF(B1088="Egg Shop","",IF(J1088="","",IFERROR(LOOKUP(2,1/(Purchases!$H$3:$H$2002=J1088),Purchases!$F$3:$F$2002),"")))</f>
        <v/>
      </c>
      <c r="G1088" t="str">
        <f t="shared" si="78"/>
        <v/>
      </c>
      <c r="H1088" t="str">
        <f t="shared" si="79"/>
        <v/>
      </c>
      <c r="I1088" t="str">
        <f t="shared" si="80"/>
        <v/>
      </c>
      <c r="J1088" t="str">
        <f t="shared" si="81"/>
        <v/>
      </c>
      <c r="K1088" t="str">
        <f t="shared" si="82"/>
        <v/>
      </c>
    </row>
    <row r="1089" spans="6:11">
      <c r="F1089" t="str">
        <f>IF(B1089="Egg Shop","",IF(J1089="","",IFERROR(LOOKUP(2,1/(Purchases!$H$3:$H$2002=J1089),Purchases!$F$3:$F$2002),"")))</f>
        <v/>
      </c>
      <c r="G1089" t="str">
        <f t="shared" si="78"/>
        <v/>
      </c>
      <c r="H1089" t="str">
        <f t="shared" si="79"/>
        <v/>
      </c>
      <c r="I1089" t="str">
        <f t="shared" si="80"/>
        <v/>
      </c>
      <c r="J1089" t="str">
        <f t="shared" si="81"/>
        <v/>
      </c>
      <c r="K1089" t="str">
        <f t="shared" si="82"/>
        <v/>
      </c>
    </row>
    <row r="1090" spans="6:11">
      <c r="F1090" t="str">
        <f>IF(B1090="Egg Shop","",IF(J1090="","",IFERROR(LOOKUP(2,1/(Purchases!$H$3:$H$2002=J1090),Purchases!$F$3:$F$2002),"")))</f>
        <v/>
      </c>
      <c r="G1090" t="str">
        <f t="shared" si="78"/>
        <v/>
      </c>
      <c r="H1090" t="str">
        <f t="shared" si="79"/>
        <v/>
      </c>
      <c r="I1090" t="str">
        <f t="shared" si="80"/>
        <v/>
      </c>
      <c r="J1090" t="str">
        <f t="shared" si="81"/>
        <v/>
      </c>
      <c r="K1090" t="str">
        <f t="shared" si="82"/>
        <v/>
      </c>
    </row>
    <row r="1091" spans="6:11">
      <c r="F1091" t="str">
        <f>IF(B1091="Egg Shop","",IF(J1091="","",IFERROR(LOOKUP(2,1/(Purchases!$H$3:$H$2002=J1091),Purchases!$F$3:$F$2002),"")))</f>
        <v/>
      </c>
      <c r="G1091" t="str">
        <f t="shared" ref="G1091:G1146" si="83">IF(OR(D1091="",E1091=""),"",D1091*E1091)</f>
        <v/>
      </c>
      <c r="H1091" t="str">
        <f t="shared" ref="H1091:H1146" si="84">IF(OR(D1091="",F1091=""),"",D1091*F1091)</f>
        <v/>
      </c>
      <c r="I1091" t="str">
        <f t="shared" ref="I1091:I1146" si="85">IF(OR(G1091="",H1091=""),"",G1091-H1091)</f>
        <v/>
      </c>
      <c r="J1091" t="str">
        <f t="shared" ref="J1091:J1146" si="86">IF(OR(B1091="",C1091=""),"",B1091&amp;"|"&amp;C1091)</f>
        <v/>
      </c>
      <c r="K1091" t="str">
        <f t="shared" si="82"/>
        <v/>
      </c>
    </row>
    <row r="1092" spans="6:11">
      <c r="F1092" t="str">
        <f>IF(B1092="Egg Shop","",IF(J1092="","",IFERROR(LOOKUP(2,1/(Purchases!$H$3:$H$2002=J1092),Purchases!$F$3:$F$2002),"")))</f>
        <v/>
      </c>
      <c r="G1092" t="str">
        <f t="shared" si="83"/>
        <v/>
      </c>
      <c r="H1092" t="str">
        <f t="shared" si="84"/>
        <v/>
      </c>
      <c r="I1092" t="str">
        <f t="shared" si="85"/>
        <v/>
      </c>
      <c r="J1092" t="str">
        <f t="shared" si="86"/>
        <v/>
      </c>
      <c r="K1092" t="str">
        <f t="shared" si="82"/>
        <v/>
      </c>
    </row>
    <row r="1093" spans="6:11">
      <c r="F1093" t="str">
        <f>IF(B1093="Egg Shop","",IF(J1093="","",IFERROR(LOOKUP(2,1/(Purchases!$H$3:$H$2002=J1093),Purchases!$F$3:$F$2002),"")))</f>
        <v/>
      </c>
      <c r="G1093" t="str">
        <f t="shared" si="83"/>
        <v/>
      </c>
      <c r="H1093" t="str">
        <f t="shared" si="84"/>
        <v/>
      </c>
      <c r="I1093" t="str">
        <f t="shared" si="85"/>
        <v/>
      </c>
      <c r="J1093" t="str">
        <f t="shared" si="86"/>
        <v/>
      </c>
      <c r="K1093" t="str">
        <f t="shared" si="82"/>
        <v/>
      </c>
    </row>
    <row r="1094" spans="6:11">
      <c r="F1094" t="str">
        <f>IF(B1094="Egg Shop","",IF(J1094="","",IFERROR(LOOKUP(2,1/(Purchases!$H$3:$H$2002=J1094),Purchases!$F$3:$F$2002),"")))</f>
        <v/>
      </c>
      <c r="G1094" t="str">
        <f t="shared" si="83"/>
        <v/>
      </c>
      <c r="H1094" t="str">
        <f t="shared" si="84"/>
        <v/>
      </c>
      <c r="I1094" t="str">
        <f t="shared" si="85"/>
        <v/>
      </c>
      <c r="J1094" t="str">
        <f t="shared" si="86"/>
        <v/>
      </c>
      <c r="K1094" t="str">
        <f t="shared" si="82"/>
        <v/>
      </c>
    </row>
    <row r="1095" spans="6:11">
      <c r="F1095" t="str">
        <f>IF(B1095="Egg Shop","",IF(J1095="","",IFERROR(LOOKUP(2,1/(Purchases!$H$3:$H$2002=J1095),Purchases!$F$3:$F$2002),"")))</f>
        <v/>
      </c>
      <c r="G1095" t="str">
        <f t="shared" si="83"/>
        <v/>
      </c>
      <c r="H1095" t="str">
        <f t="shared" si="84"/>
        <v/>
      </c>
      <c r="I1095" t="str">
        <f t="shared" si="85"/>
        <v/>
      </c>
      <c r="J1095" t="str">
        <f t="shared" si="86"/>
        <v/>
      </c>
      <c r="K1095" t="str">
        <f t="shared" si="82"/>
        <v/>
      </c>
    </row>
    <row r="1096" spans="6:11">
      <c r="F1096" t="str">
        <f>IF(B1096="Egg Shop","",IF(J1096="","",IFERROR(LOOKUP(2,1/(Purchases!$H$3:$H$2002=J1096),Purchases!$F$3:$F$2002),"")))</f>
        <v/>
      </c>
      <c r="G1096" t="str">
        <f t="shared" si="83"/>
        <v/>
      </c>
      <c r="H1096" t="str">
        <f t="shared" si="84"/>
        <v/>
      </c>
      <c r="I1096" t="str">
        <f t="shared" si="85"/>
        <v/>
      </c>
      <c r="J1096" t="str">
        <f t="shared" si="86"/>
        <v/>
      </c>
      <c r="K1096" t="str">
        <f t="shared" si="82"/>
        <v/>
      </c>
    </row>
    <row r="1097" spans="6:11">
      <c r="F1097" t="str">
        <f>IF(B1097="Egg Shop","",IF(J1097="","",IFERROR(LOOKUP(2,1/(Purchases!$H$3:$H$2002=J1097),Purchases!$F$3:$F$2002),"")))</f>
        <v/>
      </c>
      <c r="G1097" t="str">
        <f t="shared" si="83"/>
        <v/>
      </c>
      <c r="H1097" t="str">
        <f t="shared" si="84"/>
        <v/>
      </c>
      <c r="I1097" t="str">
        <f t="shared" si="85"/>
        <v/>
      </c>
      <c r="J1097" t="str">
        <f t="shared" si="86"/>
        <v/>
      </c>
      <c r="K1097" t="str">
        <f t="shared" si="82"/>
        <v/>
      </c>
    </row>
    <row r="1098" spans="6:11">
      <c r="F1098" t="str">
        <f>IF(B1098="Egg Shop","",IF(J1098="","",IFERROR(LOOKUP(2,1/(Purchases!$H$3:$H$2002=J1098),Purchases!$F$3:$F$2002),"")))</f>
        <v/>
      </c>
      <c r="G1098" t="str">
        <f t="shared" si="83"/>
        <v/>
      </c>
      <c r="H1098" t="str">
        <f t="shared" si="84"/>
        <v/>
      </c>
      <c r="I1098" t="str">
        <f t="shared" si="85"/>
        <v/>
      </c>
      <c r="J1098" t="str">
        <f t="shared" si="86"/>
        <v/>
      </c>
      <c r="K1098" t="str">
        <f t="shared" si="82"/>
        <v/>
      </c>
    </row>
    <row r="1099" spans="6:11">
      <c r="F1099" t="str">
        <f>IF(B1099="Egg Shop","",IF(J1099="","",IFERROR(LOOKUP(2,1/(Purchases!$H$3:$H$2002=J1099),Purchases!$F$3:$F$2002),"")))</f>
        <v/>
      </c>
      <c r="G1099" t="str">
        <f t="shared" si="83"/>
        <v/>
      </c>
      <c r="H1099" t="str">
        <f t="shared" si="84"/>
        <v/>
      </c>
      <c r="I1099" t="str">
        <f t="shared" si="85"/>
        <v/>
      </c>
      <c r="J1099" t="str">
        <f t="shared" si="86"/>
        <v/>
      </c>
      <c r="K1099" t="str">
        <f t="shared" si="82"/>
        <v/>
      </c>
    </row>
    <row r="1100" spans="6:11">
      <c r="F1100" t="str">
        <f>IF(B1100="Egg Shop","",IF(J1100="","",IFERROR(LOOKUP(2,1/(Purchases!$H$3:$H$2002=J1100),Purchases!$F$3:$F$2002),"")))</f>
        <v/>
      </c>
      <c r="G1100" t="str">
        <f t="shared" si="83"/>
        <v/>
      </c>
      <c r="H1100" t="str">
        <f t="shared" si="84"/>
        <v/>
      </c>
      <c r="I1100" t="str">
        <f t="shared" si="85"/>
        <v/>
      </c>
      <c r="J1100" t="str">
        <f t="shared" si="86"/>
        <v/>
      </c>
      <c r="K1100" t="str">
        <f t="shared" si="82"/>
        <v/>
      </c>
    </row>
    <row r="1101" spans="6:11">
      <c r="F1101" t="str">
        <f>IF(B1101="Egg Shop","",IF(J1101="","",IFERROR(LOOKUP(2,1/(Purchases!$H$3:$H$2002=J1101),Purchases!$F$3:$F$2002),"")))</f>
        <v/>
      </c>
      <c r="G1101" t="str">
        <f t="shared" si="83"/>
        <v/>
      </c>
      <c r="H1101" t="str">
        <f t="shared" si="84"/>
        <v/>
      </c>
      <c r="I1101" t="str">
        <f t="shared" si="85"/>
        <v/>
      </c>
      <c r="J1101" t="str">
        <f t="shared" si="86"/>
        <v/>
      </c>
      <c r="K1101" t="str">
        <f t="shared" si="82"/>
        <v/>
      </c>
    </row>
    <row r="1102" spans="6:11">
      <c r="F1102" t="str">
        <f>IF(B1102="Egg Shop","",IF(J1102="","",IFERROR(LOOKUP(2,1/(Purchases!$H$3:$H$2002=J1102),Purchases!$F$3:$F$2002),"")))</f>
        <v/>
      </c>
      <c r="G1102" t="str">
        <f t="shared" si="83"/>
        <v/>
      </c>
      <c r="H1102" t="str">
        <f t="shared" si="84"/>
        <v/>
      </c>
      <c r="I1102" t="str">
        <f t="shared" si="85"/>
        <v/>
      </c>
      <c r="J1102" t="str">
        <f t="shared" si="86"/>
        <v/>
      </c>
      <c r="K1102" t="str">
        <f t="shared" si="82"/>
        <v/>
      </c>
    </row>
    <row r="1103" spans="6:11">
      <c r="F1103" t="str">
        <f>IF(B1103="Egg Shop","",IF(J1103="","",IFERROR(LOOKUP(2,1/(Purchases!$H$3:$H$2002=J1103),Purchases!$F$3:$F$2002),"")))</f>
        <v/>
      </c>
      <c r="G1103" t="str">
        <f t="shared" si="83"/>
        <v/>
      </c>
      <c r="H1103" t="str">
        <f t="shared" si="84"/>
        <v/>
      </c>
      <c r="I1103" t="str">
        <f t="shared" si="85"/>
        <v/>
      </c>
      <c r="J1103" t="str">
        <f t="shared" si="86"/>
        <v/>
      </c>
      <c r="K1103" t="str">
        <f t="shared" si="82"/>
        <v/>
      </c>
    </row>
    <row r="1104" spans="6:11">
      <c r="F1104" t="str">
        <f>IF(B1104="Egg Shop","",IF(J1104="","",IFERROR(LOOKUP(2,1/(Purchases!$H$3:$H$2002=J1104),Purchases!$F$3:$F$2002),"")))</f>
        <v/>
      </c>
      <c r="G1104" t="str">
        <f t="shared" si="83"/>
        <v/>
      </c>
      <c r="H1104" t="str">
        <f t="shared" si="84"/>
        <v/>
      </c>
      <c r="I1104" t="str">
        <f t="shared" si="85"/>
        <v/>
      </c>
      <c r="J1104" t="str">
        <f t="shared" si="86"/>
        <v/>
      </c>
      <c r="K1104" t="str">
        <f t="shared" si="82"/>
        <v/>
      </c>
    </row>
    <row r="1105" spans="6:11">
      <c r="F1105" t="str">
        <f>IF(B1105="Egg Shop","",IF(J1105="","",IFERROR(LOOKUP(2,1/(Purchases!$H$3:$H$2002=J1105),Purchases!$F$3:$F$2002),"")))</f>
        <v/>
      </c>
      <c r="G1105" t="str">
        <f t="shared" si="83"/>
        <v/>
      </c>
      <c r="H1105" t="str">
        <f t="shared" si="84"/>
        <v/>
      </c>
      <c r="I1105" t="str">
        <f t="shared" si="85"/>
        <v/>
      </c>
      <c r="J1105" t="str">
        <f t="shared" si="86"/>
        <v/>
      </c>
      <c r="K1105" t="str">
        <f t="shared" si="82"/>
        <v/>
      </c>
    </row>
    <row r="1106" spans="6:11">
      <c r="F1106" t="str">
        <f>IF(B1106="Egg Shop","",IF(J1106="","",IFERROR(LOOKUP(2,1/(Purchases!$H$3:$H$2002=J1106),Purchases!$F$3:$F$2002),"")))</f>
        <v/>
      </c>
      <c r="G1106" t="str">
        <f t="shared" si="83"/>
        <v/>
      </c>
      <c r="H1106" t="str">
        <f t="shared" si="84"/>
        <v/>
      </c>
      <c r="I1106" t="str">
        <f t="shared" si="85"/>
        <v/>
      </c>
      <c r="J1106" t="str">
        <f t="shared" si="86"/>
        <v/>
      </c>
      <c r="K1106" t="str">
        <f t="shared" ref="K1106:K1146" si="87">IF(A1106&lt;&gt;"","Cash","")</f>
        <v/>
      </c>
    </row>
    <row r="1107" spans="6:11">
      <c r="F1107" t="str">
        <f>IF(B1107="Egg Shop","",IF(J1107="","",IFERROR(LOOKUP(2,1/(Purchases!$H$3:$H$2002=J1107),Purchases!$F$3:$F$2002),"")))</f>
        <v/>
      </c>
      <c r="G1107" t="str">
        <f t="shared" si="83"/>
        <v/>
      </c>
      <c r="H1107" t="str">
        <f t="shared" si="84"/>
        <v/>
      </c>
      <c r="I1107" t="str">
        <f t="shared" si="85"/>
        <v/>
      </c>
      <c r="J1107" t="str">
        <f t="shared" si="86"/>
        <v/>
      </c>
      <c r="K1107" t="str">
        <f t="shared" si="87"/>
        <v/>
      </c>
    </row>
    <row r="1108" spans="6:11">
      <c r="F1108" t="str">
        <f>IF(B1108="Egg Shop","",IF(J1108="","",IFERROR(LOOKUP(2,1/(Purchases!$H$3:$H$2002=J1108),Purchases!$F$3:$F$2002),"")))</f>
        <v/>
      </c>
      <c r="G1108" t="str">
        <f t="shared" si="83"/>
        <v/>
      </c>
      <c r="H1108" t="str">
        <f t="shared" si="84"/>
        <v/>
      </c>
      <c r="I1108" t="str">
        <f t="shared" si="85"/>
        <v/>
      </c>
      <c r="J1108" t="str">
        <f t="shared" si="86"/>
        <v/>
      </c>
      <c r="K1108" t="str">
        <f t="shared" si="87"/>
        <v/>
      </c>
    </row>
    <row r="1109" spans="6:11">
      <c r="F1109" t="str">
        <f>IF(B1109="Egg Shop","",IF(J1109="","",IFERROR(LOOKUP(2,1/(Purchases!$H$3:$H$2002=J1109),Purchases!$F$3:$F$2002),"")))</f>
        <v/>
      </c>
      <c r="G1109" t="str">
        <f t="shared" si="83"/>
        <v/>
      </c>
      <c r="H1109" t="str">
        <f t="shared" si="84"/>
        <v/>
      </c>
      <c r="I1109" t="str">
        <f t="shared" si="85"/>
        <v/>
      </c>
      <c r="J1109" t="str">
        <f t="shared" si="86"/>
        <v/>
      </c>
      <c r="K1109" t="str">
        <f t="shared" si="87"/>
        <v/>
      </c>
    </row>
    <row r="1110" spans="6:11">
      <c r="F1110" t="str">
        <f>IF(B1110="Egg Shop","",IF(J1110="","",IFERROR(LOOKUP(2,1/(Purchases!$H$3:$H$2002=J1110),Purchases!$F$3:$F$2002),"")))</f>
        <v/>
      </c>
      <c r="G1110" t="str">
        <f t="shared" si="83"/>
        <v/>
      </c>
      <c r="H1110" t="str">
        <f t="shared" si="84"/>
        <v/>
      </c>
      <c r="I1110" t="str">
        <f t="shared" si="85"/>
        <v/>
      </c>
      <c r="J1110" t="str">
        <f t="shared" si="86"/>
        <v/>
      </c>
      <c r="K1110" t="str">
        <f t="shared" si="87"/>
        <v/>
      </c>
    </row>
    <row r="1111" spans="6:11">
      <c r="F1111" t="str">
        <f>IF(B1111="Egg Shop","",IF(J1111="","",IFERROR(LOOKUP(2,1/(Purchases!$H$3:$H$2002=J1111),Purchases!$F$3:$F$2002),"")))</f>
        <v/>
      </c>
      <c r="G1111" t="str">
        <f t="shared" si="83"/>
        <v/>
      </c>
      <c r="H1111" t="str">
        <f t="shared" si="84"/>
        <v/>
      </c>
      <c r="I1111" t="str">
        <f t="shared" si="85"/>
        <v/>
      </c>
      <c r="J1111" t="str">
        <f t="shared" si="86"/>
        <v/>
      </c>
      <c r="K1111" t="str">
        <f t="shared" si="87"/>
        <v/>
      </c>
    </row>
    <row r="1112" spans="6:11">
      <c r="F1112" t="str">
        <f>IF(B1112="Egg Shop","",IF(J1112="","",IFERROR(LOOKUP(2,1/(Purchases!$H$3:$H$2002=J1112),Purchases!$F$3:$F$2002),"")))</f>
        <v/>
      </c>
      <c r="G1112" t="str">
        <f t="shared" si="83"/>
        <v/>
      </c>
      <c r="H1112" t="str">
        <f t="shared" si="84"/>
        <v/>
      </c>
      <c r="I1112" t="str">
        <f t="shared" si="85"/>
        <v/>
      </c>
      <c r="J1112" t="str">
        <f t="shared" si="86"/>
        <v/>
      </c>
      <c r="K1112" t="str">
        <f t="shared" si="87"/>
        <v/>
      </c>
    </row>
    <row r="1113" spans="6:11">
      <c r="F1113" t="str">
        <f>IF(B1113="Egg Shop","",IF(J1113="","",IFERROR(LOOKUP(2,1/(Purchases!$H$3:$H$2002=J1113),Purchases!$F$3:$F$2002),"")))</f>
        <v/>
      </c>
      <c r="G1113" t="str">
        <f t="shared" si="83"/>
        <v/>
      </c>
      <c r="H1113" t="str">
        <f t="shared" si="84"/>
        <v/>
      </c>
      <c r="I1113" t="str">
        <f t="shared" si="85"/>
        <v/>
      </c>
      <c r="J1113" t="str">
        <f t="shared" si="86"/>
        <v/>
      </c>
      <c r="K1113" t="str">
        <f t="shared" si="87"/>
        <v/>
      </c>
    </row>
    <row r="1114" spans="6:11">
      <c r="F1114" t="str">
        <f>IF(B1114="Egg Shop","",IF(J1114="","",IFERROR(LOOKUP(2,1/(Purchases!$H$3:$H$2002=J1114),Purchases!$F$3:$F$2002),"")))</f>
        <v/>
      </c>
      <c r="G1114" t="str">
        <f t="shared" si="83"/>
        <v/>
      </c>
      <c r="H1114" t="str">
        <f t="shared" si="84"/>
        <v/>
      </c>
      <c r="I1114" t="str">
        <f t="shared" si="85"/>
        <v/>
      </c>
      <c r="J1114" t="str">
        <f t="shared" si="86"/>
        <v/>
      </c>
      <c r="K1114" t="str">
        <f t="shared" si="87"/>
        <v/>
      </c>
    </row>
    <row r="1115" spans="6:11">
      <c r="F1115" t="str">
        <f>IF(B1115="Egg Shop","",IF(J1115="","",IFERROR(LOOKUP(2,1/(Purchases!$H$3:$H$2002=J1115),Purchases!$F$3:$F$2002),"")))</f>
        <v/>
      </c>
      <c r="G1115" t="str">
        <f t="shared" si="83"/>
        <v/>
      </c>
      <c r="H1115" t="str">
        <f t="shared" si="84"/>
        <v/>
      </c>
      <c r="I1115" t="str">
        <f t="shared" si="85"/>
        <v/>
      </c>
      <c r="J1115" t="str">
        <f t="shared" si="86"/>
        <v/>
      </c>
      <c r="K1115" t="str">
        <f t="shared" si="87"/>
        <v/>
      </c>
    </row>
    <row r="1116" spans="6:11">
      <c r="F1116" t="str">
        <f>IF(B1116="Egg Shop","",IF(J1116="","",IFERROR(LOOKUP(2,1/(Purchases!$H$3:$H$2002=J1116),Purchases!$F$3:$F$2002),"")))</f>
        <v/>
      </c>
      <c r="G1116" t="str">
        <f t="shared" si="83"/>
        <v/>
      </c>
      <c r="H1116" t="str">
        <f t="shared" si="84"/>
        <v/>
      </c>
      <c r="I1116" t="str">
        <f t="shared" si="85"/>
        <v/>
      </c>
      <c r="J1116" t="str">
        <f t="shared" si="86"/>
        <v/>
      </c>
      <c r="K1116" t="str">
        <f t="shared" si="87"/>
        <v/>
      </c>
    </row>
    <row r="1117" spans="6:11">
      <c r="F1117" t="str">
        <f>IF(B1117="Egg Shop","",IF(J1117="","",IFERROR(LOOKUP(2,1/(Purchases!$H$3:$H$2002=J1117),Purchases!$F$3:$F$2002),"")))</f>
        <v/>
      </c>
      <c r="G1117" t="str">
        <f t="shared" si="83"/>
        <v/>
      </c>
      <c r="H1117" t="str">
        <f t="shared" si="84"/>
        <v/>
      </c>
      <c r="I1117" t="str">
        <f t="shared" si="85"/>
        <v/>
      </c>
      <c r="J1117" t="str">
        <f t="shared" si="86"/>
        <v/>
      </c>
      <c r="K1117" t="str">
        <f t="shared" si="87"/>
        <v/>
      </c>
    </row>
    <row r="1118" spans="6:11">
      <c r="F1118" t="str">
        <f>IF(B1118="Egg Shop","",IF(J1118="","",IFERROR(LOOKUP(2,1/(Purchases!$H$3:$H$2002=J1118),Purchases!$F$3:$F$2002),"")))</f>
        <v/>
      </c>
      <c r="G1118" t="str">
        <f t="shared" si="83"/>
        <v/>
      </c>
      <c r="H1118" t="str">
        <f t="shared" si="84"/>
        <v/>
      </c>
      <c r="I1118" t="str">
        <f t="shared" si="85"/>
        <v/>
      </c>
      <c r="J1118" t="str">
        <f t="shared" si="86"/>
        <v/>
      </c>
      <c r="K1118" t="str">
        <f t="shared" si="87"/>
        <v/>
      </c>
    </row>
    <row r="1119" spans="6:11">
      <c r="F1119" t="str">
        <f>IF(B1119="Egg Shop","",IF(J1119="","",IFERROR(LOOKUP(2,1/(Purchases!$H$3:$H$2002=J1119),Purchases!$F$3:$F$2002),"")))</f>
        <v/>
      </c>
      <c r="G1119" t="str">
        <f t="shared" si="83"/>
        <v/>
      </c>
      <c r="H1119" t="str">
        <f t="shared" si="84"/>
        <v/>
      </c>
      <c r="I1119" t="str">
        <f t="shared" si="85"/>
        <v/>
      </c>
      <c r="J1119" t="str">
        <f t="shared" si="86"/>
        <v/>
      </c>
      <c r="K1119" t="str">
        <f t="shared" si="87"/>
        <v/>
      </c>
    </row>
    <row r="1120" spans="6:11">
      <c r="F1120" t="str">
        <f>IF(B1120="Egg Shop","",IF(J1120="","",IFERROR(LOOKUP(2,1/(Purchases!$H$3:$H$2002=J1120),Purchases!$F$3:$F$2002),"")))</f>
        <v/>
      </c>
      <c r="G1120" t="str">
        <f t="shared" si="83"/>
        <v/>
      </c>
      <c r="H1120" t="str">
        <f t="shared" si="84"/>
        <v/>
      </c>
      <c r="I1120" t="str">
        <f t="shared" si="85"/>
        <v/>
      </c>
      <c r="J1120" t="str">
        <f t="shared" si="86"/>
        <v/>
      </c>
      <c r="K1120" t="str">
        <f t="shared" si="87"/>
        <v/>
      </c>
    </row>
    <row r="1121" spans="6:11">
      <c r="F1121" t="str">
        <f>IF(B1121="Egg Shop","",IF(J1121="","",IFERROR(LOOKUP(2,1/(Purchases!$H$3:$H$2002=J1121),Purchases!$F$3:$F$2002),"")))</f>
        <v/>
      </c>
      <c r="G1121" t="str">
        <f t="shared" si="83"/>
        <v/>
      </c>
      <c r="H1121" t="str">
        <f t="shared" si="84"/>
        <v/>
      </c>
      <c r="I1121" t="str">
        <f t="shared" si="85"/>
        <v/>
      </c>
      <c r="J1121" t="str">
        <f t="shared" si="86"/>
        <v/>
      </c>
      <c r="K1121" t="str">
        <f t="shared" si="87"/>
        <v/>
      </c>
    </row>
    <row r="1122" spans="6:11">
      <c r="F1122" t="str">
        <f>IF(B1122="Egg Shop","",IF(J1122="","",IFERROR(LOOKUP(2,1/(Purchases!$H$3:$H$2002=J1122),Purchases!$F$3:$F$2002),"")))</f>
        <v/>
      </c>
      <c r="G1122" t="str">
        <f t="shared" si="83"/>
        <v/>
      </c>
      <c r="H1122" t="str">
        <f t="shared" si="84"/>
        <v/>
      </c>
      <c r="I1122" t="str">
        <f t="shared" si="85"/>
        <v/>
      </c>
      <c r="J1122" t="str">
        <f t="shared" si="86"/>
        <v/>
      </c>
      <c r="K1122" t="str">
        <f t="shared" si="87"/>
        <v/>
      </c>
    </row>
    <row r="1123" spans="6:11">
      <c r="F1123" t="str">
        <f>IF(B1123="Egg Shop","",IF(J1123="","",IFERROR(LOOKUP(2,1/(Purchases!$H$3:$H$2002=J1123),Purchases!$F$3:$F$2002),"")))</f>
        <v/>
      </c>
      <c r="G1123" t="str">
        <f t="shared" si="83"/>
        <v/>
      </c>
      <c r="H1123" t="str">
        <f t="shared" si="84"/>
        <v/>
      </c>
      <c r="I1123" t="str">
        <f t="shared" si="85"/>
        <v/>
      </c>
      <c r="J1123" t="str">
        <f t="shared" si="86"/>
        <v/>
      </c>
      <c r="K1123" t="str">
        <f t="shared" si="87"/>
        <v/>
      </c>
    </row>
    <row r="1124" spans="6:11">
      <c r="F1124" t="str">
        <f>IF(B1124="Egg Shop","",IF(J1124="","",IFERROR(LOOKUP(2,1/(Purchases!$H$3:$H$2002=J1124),Purchases!$F$3:$F$2002),"")))</f>
        <v/>
      </c>
      <c r="G1124" t="str">
        <f t="shared" si="83"/>
        <v/>
      </c>
      <c r="H1124" t="str">
        <f t="shared" si="84"/>
        <v/>
      </c>
      <c r="I1124" t="str">
        <f t="shared" si="85"/>
        <v/>
      </c>
      <c r="J1124" t="str">
        <f t="shared" si="86"/>
        <v/>
      </c>
      <c r="K1124" t="str">
        <f t="shared" si="87"/>
        <v/>
      </c>
    </row>
    <row r="1125" spans="6:11">
      <c r="F1125" t="str">
        <f>IF(B1125="Egg Shop","",IF(J1125="","",IFERROR(LOOKUP(2,1/(Purchases!$H$3:$H$2002=J1125),Purchases!$F$3:$F$2002),"")))</f>
        <v/>
      </c>
      <c r="G1125" t="str">
        <f t="shared" si="83"/>
        <v/>
      </c>
      <c r="H1125" t="str">
        <f t="shared" si="84"/>
        <v/>
      </c>
      <c r="I1125" t="str">
        <f t="shared" si="85"/>
        <v/>
      </c>
      <c r="J1125" t="str">
        <f t="shared" si="86"/>
        <v/>
      </c>
      <c r="K1125" t="str">
        <f t="shared" si="87"/>
        <v/>
      </c>
    </row>
    <row r="1126" spans="6:11">
      <c r="F1126" t="str">
        <f>IF(B1126="Egg Shop","",IF(J1126="","",IFERROR(LOOKUP(2,1/(Purchases!$H$3:$H$2002=J1126),Purchases!$F$3:$F$2002),"")))</f>
        <v/>
      </c>
      <c r="G1126" t="str">
        <f t="shared" si="83"/>
        <v/>
      </c>
      <c r="H1126" t="str">
        <f t="shared" si="84"/>
        <v/>
      </c>
      <c r="I1126" t="str">
        <f t="shared" si="85"/>
        <v/>
      </c>
      <c r="J1126" t="str">
        <f t="shared" si="86"/>
        <v/>
      </c>
      <c r="K1126" t="str">
        <f t="shared" si="87"/>
        <v/>
      </c>
    </row>
    <row r="1127" spans="6:11">
      <c r="F1127" t="str">
        <f>IF(B1127="Egg Shop","",IF(J1127="","",IFERROR(LOOKUP(2,1/(Purchases!$H$3:$H$2002=J1127),Purchases!$F$3:$F$2002),"")))</f>
        <v/>
      </c>
      <c r="G1127" t="str">
        <f t="shared" si="83"/>
        <v/>
      </c>
      <c r="H1127" t="str">
        <f t="shared" si="84"/>
        <v/>
      </c>
      <c r="I1127" t="str">
        <f t="shared" si="85"/>
        <v/>
      </c>
      <c r="J1127" t="str">
        <f t="shared" si="86"/>
        <v/>
      </c>
      <c r="K1127" t="str">
        <f t="shared" si="87"/>
        <v/>
      </c>
    </row>
    <row r="1128" spans="6:11">
      <c r="F1128" t="str">
        <f>IF(B1128="Egg Shop","",IF(J1128="","",IFERROR(LOOKUP(2,1/(Purchases!$H$3:$H$2002=J1128),Purchases!$F$3:$F$2002),"")))</f>
        <v/>
      </c>
      <c r="G1128" t="str">
        <f t="shared" si="83"/>
        <v/>
      </c>
      <c r="H1128" t="str">
        <f t="shared" si="84"/>
        <v/>
      </c>
      <c r="I1128" t="str">
        <f t="shared" si="85"/>
        <v/>
      </c>
      <c r="J1128" t="str">
        <f t="shared" si="86"/>
        <v/>
      </c>
      <c r="K1128" t="str">
        <f t="shared" si="87"/>
        <v/>
      </c>
    </row>
    <row r="1129" spans="6:11">
      <c r="F1129" t="str">
        <f>IF(B1129="Egg Shop","",IF(J1129="","",IFERROR(LOOKUP(2,1/(Purchases!$H$3:$H$2002=J1129),Purchases!$F$3:$F$2002),"")))</f>
        <v/>
      </c>
      <c r="G1129" t="str">
        <f t="shared" si="83"/>
        <v/>
      </c>
      <c r="H1129" t="str">
        <f t="shared" si="84"/>
        <v/>
      </c>
      <c r="I1129" t="str">
        <f t="shared" si="85"/>
        <v/>
      </c>
      <c r="J1129" t="str">
        <f t="shared" si="86"/>
        <v/>
      </c>
      <c r="K1129" t="str">
        <f t="shared" si="87"/>
        <v/>
      </c>
    </row>
    <row r="1130" spans="6:11">
      <c r="F1130" t="str">
        <f>IF(B1130="Egg Shop","",IF(J1130="","",IFERROR(LOOKUP(2,1/(Purchases!$H$3:$H$2002=J1130),Purchases!$F$3:$F$2002),"")))</f>
        <v/>
      </c>
      <c r="G1130" t="str">
        <f t="shared" si="83"/>
        <v/>
      </c>
      <c r="H1130" t="str">
        <f t="shared" si="84"/>
        <v/>
      </c>
      <c r="I1130" t="str">
        <f t="shared" si="85"/>
        <v/>
      </c>
      <c r="J1130" t="str">
        <f t="shared" si="86"/>
        <v/>
      </c>
      <c r="K1130" t="str">
        <f t="shared" si="87"/>
        <v/>
      </c>
    </row>
    <row r="1131" spans="6:11">
      <c r="F1131" t="str">
        <f>IF(B1131="Egg Shop","",IF(J1131="","",IFERROR(LOOKUP(2,1/(Purchases!$H$3:$H$2002=J1131),Purchases!$F$3:$F$2002),"")))</f>
        <v/>
      </c>
      <c r="G1131" t="str">
        <f t="shared" si="83"/>
        <v/>
      </c>
      <c r="H1131" t="str">
        <f t="shared" si="84"/>
        <v/>
      </c>
      <c r="I1131" t="str">
        <f t="shared" si="85"/>
        <v/>
      </c>
      <c r="J1131" t="str">
        <f t="shared" si="86"/>
        <v/>
      </c>
      <c r="K1131" t="str">
        <f t="shared" si="87"/>
        <v/>
      </c>
    </row>
    <row r="1132" spans="6:11">
      <c r="F1132" t="str">
        <f>IF(B1132="Egg Shop","",IF(J1132="","",IFERROR(LOOKUP(2,1/(Purchases!$H$3:$H$2002=J1132),Purchases!$F$3:$F$2002),"")))</f>
        <v/>
      </c>
      <c r="G1132" t="str">
        <f t="shared" si="83"/>
        <v/>
      </c>
      <c r="H1132" t="str">
        <f t="shared" si="84"/>
        <v/>
      </c>
      <c r="I1132" t="str">
        <f t="shared" si="85"/>
        <v/>
      </c>
      <c r="J1132" t="str">
        <f t="shared" si="86"/>
        <v/>
      </c>
      <c r="K1132" t="str">
        <f t="shared" si="87"/>
        <v/>
      </c>
    </row>
    <row r="1133" spans="6:11">
      <c r="F1133" t="str">
        <f>IF(B1133="Egg Shop","",IF(J1133="","",IFERROR(LOOKUP(2,1/(Purchases!$H$3:$H$2002=J1133),Purchases!$F$3:$F$2002),"")))</f>
        <v/>
      </c>
      <c r="G1133" t="str">
        <f t="shared" si="83"/>
        <v/>
      </c>
      <c r="H1133" t="str">
        <f t="shared" si="84"/>
        <v/>
      </c>
      <c r="I1133" t="str">
        <f t="shared" si="85"/>
        <v/>
      </c>
      <c r="J1133" t="str">
        <f t="shared" si="86"/>
        <v/>
      </c>
      <c r="K1133" t="str">
        <f t="shared" si="87"/>
        <v/>
      </c>
    </row>
    <row r="1134" spans="6:11">
      <c r="F1134" t="str">
        <f>IF(B1134="Egg Shop","",IF(J1134="","",IFERROR(LOOKUP(2,1/(Purchases!$H$3:$H$2002=J1134),Purchases!$F$3:$F$2002),"")))</f>
        <v/>
      </c>
      <c r="G1134" t="str">
        <f t="shared" si="83"/>
        <v/>
      </c>
      <c r="H1134" t="str">
        <f t="shared" si="84"/>
        <v/>
      </c>
      <c r="I1134" t="str">
        <f t="shared" si="85"/>
        <v/>
      </c>
      <c r="J1134" t="str">
        <f t="shared" si="86"/>
        <v/>
      </c>
      <c r="K1134" t="str">
        <f t="shared" si="87"/>
        <v/>
      </c>
    </row>
    <row r="1135" spans="6:11">
      <c r="F1135" t="str">
        <f>IF(B1135="Egg Shop","",IF(J1135="","",IFERROR(LOOKUP(2,1/(Purchases!$H$3:$H$2002=J1135),Purchases!$F$3:$F$2002),"")))</f>
        <v/>
      </c>
      <c r="G1135" t="str">
        <f t="shared" si="83"/>
        <v/>
      </c>
      <c r="H1135" t="str">
        <f t="shared" si="84"/>
        <v/>
      </c>
      <c r="I1135" t="str">
        <f t="shared" si="85"/>
        <v/>
      </c>
      <c r="J1135" t="str">
        <f t="shared" si="86"/>
        <v/>
      </c>
      <c r="K1135" t="str">
        <f t="shared" si="87"/>
        <v/>
      </c>
    </row>
    <row r="1136" spans="6:11">
      <c r="F1136" t="str">
        <f>IF(B1136="Egg Shop","",IF(J1136="","",IFERROR(LOOKUP(2,1/(Purchases!$H$3:$H$2002=J1136),Purchases!$F$3:$F$2002),"")))</f>
        <v/>
      </c>
      <c r="G1136" t="str">
        <f t="shared" si="83"/>
        <v/>
      </c>
      <c r="H1136" t="str">
        <f t="shared" si="84"/>
        <v/>
      </c>
      <c r="I1136" t="str">
        <f t="shared" si="85"/>
        <v/>
      </c>
      <c r="J1136" t="str">
        <f t="shared" si="86"/>
        <v/>
      </c>
      <c r="K1136" t="str">
        <f t="shared" si="87"/>
        <v/>
      </c>
    </row>
    <row r="1137" spans="6:11">
      <c r="F1137" t="str">
        <f>IF(B1137="Egg Shop","",IF(J1137="","",IFERROR(LOOKUP(2,1/(Purchases!$H$3:$H$2002=J1137),Purchases!$F$3:$F$2002),"")))</f>
        <v/>
      </c>
      <c r="G1137" t="str">
        <f t="shared" si="83"/>
        <v/>
      </c>
      <c r="H1137" t="str">
        <f t="shared" si="84"/>
        <v/>
      </c>
      <c r="I1137" t="str">
        <f t="shared" si="85"/>
        <v/>
      </c>
      <c r="J1137" t="str">
        <f t="shared" si="86"/>
        <v/>
      </c>
      <c r="K1137" t="str">
        <f t="shared" si="87"/>
        <v/>
      </c>
    </row>
    <row r="1138" spans="6:11">
      <c r="F1138" t="str">
        <f>IF(B1138="Egg Shop","",IF(J1138="","",IFERROR(LOOKUP(2,1/(Purchases!$H$3:$H$2002=J1138),Purchases!$F$3:$F$2002),"")))</f>
        <v/>
      </c>
      <c r="G1138" t="str">
        <f t="shared" si="83"/>
        <v/>
      </c>
      <c r="H1138" t="str">
        <f t="shared" si="84"/>
        <v/>
      </c>
      <c r="I1138" t="str">
        <f t="shared" si="85"/>
        <v/>
      </c>
      <c r="J1138" t="str">
        <f t="shared" si="86"/>
        <v/>
      </c>
      <c r="K1138" t="str">
        <f t="shared" si="87"/>
        <v/>
      </c>
    </row>
    <row r="1139" spans="6:11">
      <c r="F1139" t="str">
        <f>IF(B1139="Egg Shop","",IF(J1139="","",IFERROR(LOOKUP(2,1/(Purchases!$H$3:$H$2002=J1139),Purchases!$F$3:$F$2002),"")))</f>
        <v/>
      </c>
      <c r="G1139" t="str">
        <f t="shared" si="83"/>
        <v/>
      </c>
      <c r="H1139" t="str">
        <f t="shared" si="84"/>
        <v/>
      </c>
      <c r="I1139" t="str">
        <f t="shared" si="85"/>
        <v/>
      </c>
      <c r="J1139" t="str">
        <f t="shared" si="86"/>
        <v/>
      </c>
      <c r="K1139" t="str">
        <f t="shared" si="87"/>
        <v/>
      </c>
    </row>
    <row r="1140" spans="6:11">
      <c r="F1140" t="str">
        <f>IF(B1140="Egg Shop","",IF(J1140="","",IFERROR(LOOKUP(2,1/(Purchases!$H$3:$H$2002=J1140),Purchases!$F$3:$F$2002),"")))</f>
        <v/>
      </c>
      <c r="G1140" t="str">
        <f t="shared" si="83"/>
        <v/>
      </c>
      <c r="H1140" t="str">
        <f t="shared" si="84"/>
        <v/>
      </c>
      <c r="I1140" t="str">
        <f t="shared" si="85"/>
        <v/>
      </c>
      <c r="J1140" t="str">
        <f t="shared" si="86"/>
        <v/>
      </c>
      <c r="K1140" t="str">
        <f t="shared" si="87"/>
        <v/>
      </c>
    </row>
    <row r="1141" spans="6:11">
      <c r="F1141" t="str">
        <f>IF(B1141="Egg Shop","",IF(J1141="","",IFERROR(LOOKUP(2,1/(Purchases!$H$3:$H$2002=J1141),Purchases!$F$3:$F$2002),"")))</f>
        <v/>
      </c>
      <c r="G1141" t="str">
        <f t="shared" si="83"/>
        <v/>
      </c>
      <c r="H1141" t="str">
        <f t="shared" si="84"/>
        <v/>
      </c>
      <c r="I1141" t="str">
        <f t="shared" si="85"/>
        <v/>
      </c>
      <c r="J1141" t="str">
        <f t="shared" si="86"/>
        <v/>
      </c>
      <c r="K1141" t="str">
        <f t="shared" si="87"/>
        <v/>
      </c>
    </row>
    <row r="1142" spans="6:11">
      <c r="F1142" t="str">
        <f>IF(B1142="Egg Shop","",IF(J1142="","",IFERROR(LOOKUP(2,1/(Purchases!$H$3:$H$2002=J1142),Purchases!$F$3:$F$2002),"")))</f>
        <v/>
      </c>
      <c r="G1142" t="str">
        <f t="shared" si="83"/>
        <v/>
      </c>
      <c r="H1142" t="str">
        <f t="shared" si="84"/>
        <v/>
      </c>
      <c r="I1142" t="str">
        <f t="shared" si="85"/>
        <v/>
      </c>
      <c r="J1142" t="str">
        <f t="shared" si="86"/>
        <v/>
      </c>
      <c r="K1142" t="str">
        <f t="shared" si="87"/>
        <v/>
      </c>
    </row>
    <row r="1143" spans="6:11">
      <c r="F1143" t="str">
        <f>IF(B1143="Egg Shop","",IF(J1143="","",IFERROR(LOOKUP(2,1/(Purchases!$H$3:$H$2002=J1143),Purchases!$F$3:$F$2002),"")))</f>
        <v/>
      </c>
      <c r="G1143" t="str">
        <f t="shared" si="83"/>
        <v/>
      </c>
      <c r="H1143" t="str">
        <f t="shared" si="84"/>
        <v/>
      </c>
      <c r="I1143" t="str">
        <f t="shared" si="85"/>
        <v/>
      </c>
      <c r="J1143" t="str">
        <f t="shared" si="86"/>
        <v/>
      </c>
      <c r="K1143" t="str">
        <f t="shared" si="87"/>
        <v/>
      </c>
    </row>
    <row r="1144" spans="6:11">
      <c r="F1144" t="str">
        <f>IF(B1144="Egg Shop","",IF(J1144="","",IFERROR(LOOKUP(2,1/(Purchases!$H$3:$H$2002=J1144),Purchases!$F$3:$F$2002),"")))</f>
        <v/>
      </c>
      <c r="G1144" t="str">
        <f t="shared" si="83"/>
        <v/>
      </c>
      <c r="H1144" t="str">
        <f t="shared" si="84"/>
        <v/>
      </c>
      <c r="I1144" t="str">
        <f t="shared" si="85"/>
        <v/>
      </c>
      <c r="J1144" t="str">
        <f t="shared" si="86"/>
        <v/>
      </c>
      <c r="K1144" t="str">
        <f t="shared" si="87"/>
        <v/>
      </c>
    </row>
    <row r="1145" spans="6:11">
      <c r="F1145" t="str">
        <f>IF(B1145="Egg Shop","",IF(J1145="","",IFERROR(LOOKUP(2,1/(Purchases!$H$3:$H$2002=J1145),Purchases!$F$3:$F$2002),"")))</f>
        <v/>
      </c>
      <c r="G1145" t="str">
        <f t="shared" si="83"/>
        <v/>
      </c>
      <c r="H1145" t="str">
        <f t="shared" si="84"/>
        <v/>
      </c>
      <c r="I1145" t="str">
        <f t="shared" si="85"/>
        <v/>
      </c>
      <c r="J1145" t="str">
        <f t="shared" si="86"/>
        <v/>
      </c>
      <c r="K1145" t="str">
        <f t="shared" si="87"/>
        <v/>
      </c>
    </row>
    <row r="1146" spans="6:11">
      <c r="F1146" t="str">
        <f>IF(B1146="Egg Shop","",IF(J1146="","",IFERROR(LOOKUP(2,1/(Purchases!$H$3:$H$2002=J1146),Purchases!$F$3:$F$2002),"")))</f>
        <v/>
      </c>
      <c r="G1146" t="str">
        <f t="shared" si="83"/>
        <v/>
      </c>
      <c r="H1146" t="str">
        <f t="shared" si="84"/>
        <v/>
      </c>
      <c r="I1146" t="str">
        <f t="shared" si="85"/>
        <v/>
      </c>
      <c r="J1146" t="str">
        <f t="shared" si="86"/>
        <v/>
      </c>
      <c r="K1146" t="str">
        <f t="shared" si="87"/>
        <v/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K37"/>
  <sheetViews>
    <sheetView tabSelected="1" workbookViewId="0">
      <selection activeCell="I19" sqref="I19"/>
    </sheetView>
  </sheetViews>
  <sheetFormatPr defaultRowHeight="14.4"/>
  <cols>
    <col min="1" max="2" width="14" style="30" customWidth="1"/>
    <col min="3" max="4" width="20" style="30" customWidth="1"/>
    <col min="5" max="6" width="12" style="30" customWidth="1"/>
    <col min="7" max="7" width="2" style="30" customWidth="1"/>
    <col min="8" max="8" width="14" style="30" customWidth="1"/>
    <col min="9" max="10" width="20" style="30" customWidth="1"/>
    <col min="11" max="11" width="12" style="30" customWidth="1"/>
  </cols>
  <sheetData>
    <row r="1" spans="1:11" ht="15.6" customHeight="1">
      <c r="A1" s="49" t="s">
        <v>117</v>
      </c>
      <c r="B1" s="46"/>
      <c r="C1" s="46"/>
      <c r="D1" s="46"/>
      <c r="E1" s="46"/>
      <c r="F1" s="46"/>
      <c r="H1" s="49" t="s">
        <v>118</v>
      </c>
      <c r="I1" s="46"/>
      <c r="J1" s="46"/>
      <c r="K1" s="46"/>
    </row>
    <row r="2" spans="1:11">
      <c r="A2" s="4" t="s">
        <v>98</v>
      </c>
      <c r="B2" s="4" t="s">
        <v>99</v>
      </c>
      <c r="C2" s="4" t="s">
        <v>103</v>
      </c>
      <c r="D2" s="4" t="s">
        <v>119</v>
      </c>
      <c r="E2" s="4" t="s">
        <v>120</v>
      </c>
      <c r="F2" s="4" t="s">
        <v>121</v>
      </c>
      <c r="H2" s="4" t="s">
        <v>99</v>
      </c>
      <c r="I2" s="4" t="s">
        <v>122</v>
      </c>
      <c r="J2" s="4" t="s">
        <v>123</v>
      </c>
      <c r="K2" s="4" t="s">
        <v>121</v>
      </c>
    </row>
    <row r="3" spans="1:11">
      <c r="A3" t="s">
        <v>12</v>
      </c>
      <c r="B3" t="s">
        <v>13</v>
      </c>
      <c r="C3" t="str">
        <f t="shared" ref="C3:C37" si="0">IF(OR(A3="",B3=""),"",A3&amp;"|"&amp;B3)</f>
        <v>Akatsi Feed|LM</v>
      </c>
      <c r="D3">
        <f>IF(C3="","",SUMIFS(Purchases!$E$3:$E$2002,Purchases!$H$3:$H$2002,C3,Purchases!$A$3:$A$2002,"&gt;="&amp;'Control Panel'!$B$3,Purchases!$A$3:$A$2002,"&lt;="&amp;'Control Panel'!$C$3))</f>
        <v>321</v>
      </c>
      <c r="E3">
        <f>IF(C3="","",SUMIFS('Sales Log'!$D$3:$D$2002,'Sales Log'!$J$3:$J$2002,C3,'Sales Log'!$A$3:$A$2002,"&gt;="&amp;'Control Panel'!$B$3,'Sales Log'!$A$3:$A$2002,"&lt;="&amp;'Control Panel'!$C$3))</f>
        <v>246</v>
      </c>
      <c r="F3">
        <f t="shared" ref="F3:F37" si="1">IF(C3="","",D3-E3)</f>
        <v>75</v>
      </c>
      <c r="H3" t="s">
        <v>14</v>
      </c>
      <c r="I3">
        <f>IF(H3="","",SUMIFS('Egg Transfers'!$C$3:$C$2002,'Egg Transfers'!$B$3:$B$2002,H3,'Egg Transfers'!$A$3:$A$2002,"&gt;="&amp;'Control Panel'!$B$3,'Egg Transfers'!$A$3:$A$2002,"&lt;="&amp;'Control Panel'!$C$3))</f>
        <v>2</v>
      </c>
      <c r="J3">
        <f>IF(H3="","",SUMIFS('Sales Log'!$D$3:$D$2002,'Sales Log'!$B$3:$B$2002,"Egg Shop",'Sales Log'!$C$3:$C$2002,H3,'Sales Log'!$A$3:$A$2002,"&gt;="&amp;'Control Panel'!$B$3,'Sales Log'!$A$3:$A$2002,"&lt;="&amp;'Control Panel'!$C$3))</f>
        <v>2</v>
      </c>
      <c r="K3">
        <f t="shared" ref="K3:K9" si="2">IF(H3="","",I3-J3)</f>
        <v>0</v>
      </c>
    </row>
    <row r="4" spans="1:11">
      <c r="A4" t="s">
        <v>12</v>
      </c>
      <c r="B4" t="s">
        <v>17</v>
      </c>
      <c r="C4" t="str">
        <f t="shared" si="0"/>
        <v>Akatsi Feed|GM</v>
      </c>
      <c r="D4">
        <f>IF(C4="","",SUMIFS(Purchases!$E$3:$E$2002,Purchases!$H$3:$H$2002,C4,Purchases!$A$3:$A$2002,"&gt;="&amp;'Control Panel'!$B$3,Purchases!$A$3:$A$2002,"&lt;="&amp;'Control Panel'!$C$3))</f>
        <v>58</v>
      </c>
      <c r="E4">
        <f>IF(C4="","",SUMIFS('Sales Log'!$D$3:$D$2002,'Sales Log'!$J$3:$J$2002,C4,'Sales Log'!$A$3:$A$2002,"&gt;="&amp;'Control Panel'!$B$3,'Sales Log'!$A$3:$A$2002,"&lt;="&amp;'Control Panel'!$C$3))</f>
        <v>48</v>
      </c>
      <c r="F4">
        <f t="shared" si="1"/>
        <v>10</v>
      </c>
      <c r="H4" t="s">
        <v>18</v>
      </c>
      <c r="I4">
        <f>IF(H4="","",SUMIFS('Egg Transfers'!$C$3:$C$2002,'Egg Transfers'!$B$3:$B$2002,H4,'Egg Transfers'!$A$3:$A$2002,"&gt;="&amp;'Control Panel'!$B$3,'Egg Transfers'!$A$3:$A$2002,"&lt;="&amp;'Control Panel'!$C$3))</f>
        <v>84</v>
      </c>
      <c r="J4">
        <f>IF(H4="","",SUMIFS('Sales Log'!$D$3:$D$2002,'Sales Log'!$B$3:$B$2002,"Egg Shop",'Sales Log'!$C$3:$C$2002,H4,'Sales Log'!$A$3:$A$2002,"&gt;="&amp;'Control Panel'!$B$3,'Sales Log'!$A$3:$A$2002,"&lt;="&amp;'Control Panel'!$C$3))</f>
        <v>79</v>
      </c>
      <c r="K4">
        <f t="shared" si="2"/>
        <v>5</v>
      </c>
    </row>
    <row r="5" spans="1:11">
      <c r="A5" t="s">
        <v>12</v>
      </c>
      <c r="B5" t="s">
        <v>21</v>
      </c>
      <c r="C5" t="str">
        <f t="shared" si="0"/>
        <v>Akatsi Feed|CM</v>
      </c>
      <c r="D5">
        <f>IF(C5="","",SUMIFS(Purchases!$E$3:$E$2002,Purchases!$H$3:$H$2002,C5,Purchases!$A$3:$A$2002,"&gt;="&amp;'Control Panel'!$B$3,Purchases!$A$3:$A$2002,"&lt;="&amp;'Control Panel'!$C$3))</f>
        <v>23</v>
      </c>
      <c r="E5">
        <f>IF(C5="","",SUMIFS('Sales Log'!$D$3:$D$2002,'Sales Log'!$J$3:$J$2002,C5,'Sales Log'!$A$3:$A$2002,"&gt;="&amp;'Control Panel'!$B$3,'Sales Log'!$A$3:$A$2002,"&lt;="&amp;'Control Panel'!$C$3))</f>
        <v>17</v>
      </c>
      <c r="F5">
        <f t="shared" si="1"/>
        <v>6</v>
      </c>
      <c r="H5" t="s">
        <v>22</v>
      </c>
      <c r="I5">
        <f>IF(H5="","",SUMIFS('Egg Transfers'!$C$3:$C$2002,'Egg Transfers'!$B$3:$B$2002,H5,'Egg Transfers'!$A$3:$A$2002,"&gt;="&amp;'Control Panel'!$B$3,'Egg Transfers'!$A$3:$A$2002,"&lt;="&amp;'Control Panel'!$C$3))</f>
        <v>424</v>
      </c>
      <c r="J5">
        <f>IF(H5="","",SUMIFS('Sales Log'!$D$3:$D$2002,'Sales Log'!$B$3:$B$2002,"Egg Shop",'Sales Log'!$C$3:$C$2002,H5,'Sales Log'!$A$3:$A$2002,"&gt;="&amp;'Control Panel'!$B$3,'Sales Log'!$A$3:$A$2002,"&lt;="&amp;'Control Panel'!$C$3))</f>
        <v>401</v>
      </c>
      <c r="K5">
        <f t="shared" si="2"/>
        <v>23</v>
      </c>
    </row>
    <row r="6" spans="1:11">
      <c r="A6" t="s">
        <v>12</v>
      </c>
      <c r="B6" t="s">
        <v>25</v>
      </c>
      <c r="C6" t="str">
        <f t="shared" si="0"/>
        <v>Akatsi Feed|BS</v>
      </c>
      <c r="D6">
        <f>IF(C6="","",SUMIFS(Purchases!$E$3:$E$2002,Purchases!$H$3:$H$2002,C6,Purchases!$A$3:$A$2002,"&gt;="&amp;'Control Panel'!$B$3,Purchases!$A$3:$A$2002,"&lt;="&amp;'Control Panel'!$C$3))</f>
        <v>0</v>
      </c>
      <c r="E6">
        <f>IF(C6="","",SUMIFS('Sales Log'!$D$3:$D$2002,'Sales Log'!$J$3:$J$2002,C6,'Sales Log'!$A$3:$A$2002,"&gt;="&amp;'Control Panel'!$B$3,'Sales Log'!$A$3:$A$2002,"&lt;="&amp;'Control Panel'!$C$3))</f>
        <v>0</v>
      </c>
      <c r="F6">
        <f t="shared" si="1"/>
        <v>0</v>
      </c>
      <c r="H6" t="s">
        <v>26</v>
      </c>
      <c r="I6">
        <f>IF(H6="","",SUMIFS('Egg Transfers'!$C$3:$C$2002,'Egg Transfers'!$B$3:$B$2002,H6,'Egg Transfers'!$A$3:$A$2002,"&gt;="&amp;'Control Panel'!$B$3,'Egg Transfers'!$A$3:$A$2002,"&lt;="&amp;'Control Panel'!$C$3))</f>
        <v>958</v>
      </c>
      <c r="J6">
        <f>IF(H6="","",SUMIFS('Sales Log'!$D$3:$D$2002,'Sales Log'!$B$3:$B$2002,"Egg Shop",'Sales Log'!$C$3:$C$2002,H6,'Sales Log'!$A$3:$A$2002,"&gt;="&amp;'Control Panel'!$B$3,'Sales Log'!$A$3:$A$2002,"&lt;="&amp;'Control Panel'!$C$3))</f>
        <v>930.5</v>
      </c>
      <c r="K6">
        <f t="shared" si="2"/>
        <v>27.5</v>
      </c>
    </row>
    <row r="7" spans="1:11">
      <c r="A7" t="s">
        <v>12</v>
      </c>
      <c r="B7" t="s">
        <v>28</v>
      </c>
      <c r="C7" t="str">
        <f t="shared" si="0"/>
        <v>Akatsi Feed|Hend 5%</v>
      </c>
      <c r="D7">
        <f>IF(C7="","",SUMIFS(Purchases!$E$3:$E$2002,Purchases!$H$3:$H$2002,C7,Purchases!$A$3:$A$2002,"&gt;="&amp;'Control Panel'!$B$3,Purchases!$A$3:$A$2002,"&lt;="&amp;'Control Panel'!$C$3))</f>
        <v>0</v>
      </c>
      <c r="E7">
        <f>IF(C7="","",SUMIFS('Sales Log'!$D$3:$D$2002,'Sales Log'!$J$3:$J$2002,C7,'Sales Log'!$A$3:$A$2002,"&gt;="&amp;'Control Panel'!$B$3,'Sales Log'!$A$3:$A$2002,"&lt;="&amp;'Control Panel'!$C$3))</f>
        <v>0</v>
      </c>
      <c r="F7">
        <f t="shared" si="1"/>
        <v>0</v>
      </c>
      <c r="H7" t="s">
        <v>29</v>
      </c>
      <c r="I7">
        <f>IF(H7="","",SUMIFS('Egg Transfers'!$C$3:$C$2002,'Egg Transfers'!$B$3:$B$2002,H7,'Egg Transfers'!$A$3:$A$2002,"&gt;="&amp;'Control Panel'!$B$3,'Egg Transfers'!$A$3:$A$2002,"&lt;="&amp;'Control Panel'!$C$3))</f>
        <v>1099</v>
      </c>
      <c r="J7">
        <f>IF(H7="","",SUMIFS('Sales Log'!$D$3:$D$2002,'Sales Log'!$B$3:$B$2002,"Egg Shop",'Sales Log'!$C$3:$C$2002,H7,'Sales Log'!$A$3:$A$2002,"&gt;="&amp;'Control Panel'!$B$3,'Sales Log'!$A$3:$A$2002,"&lt;="&amp;'Control Panel'!$C$3))</f>
        <v>1099</v>
      </c>
      <c r="K7">
        <f t="shared" si="2"/>
        <v>0</v>
      </c>
    </row>
    <row r="8" spans="1:11">
      <c r="A8" t="s">
        <v>12</v>
      </c>
      <c r="B8" t="s">
        <v>27</v>
      </c>
      <c r="C8" t="str">
        <f t="shared" si="0"/>
        <v>Akatsi Feed|GMG</v>
      </c>
      <c r="D8">
        <f>IF(C8="","",SUMIFS(Purchases!$E$3:$E$2002,Purchases!$H$3:$H$2002,C8,Purchases!$A$3:$A$2002,"&gt;="&amp;'Control Panel'!$B$3,Purchases!$A$3:$A$2002,"&lt;="&amp;'Control Panel'!$C$3))</f>
        <v>0</v>
      </c>
      <c r="E8">
        <f>IF(C8="","",SUMIFS('Sales Log'!$D$3:$D$2002,'Sales Log'!$J$3:$J$2002,C8,'Sales Log'!$A$3:$A$2002,"&gt;="&amp;'Control Panel'!$B$3,'Sales Log'!$A$3:$A$2002,"&lt;="&amp;'Control Panel'!$C$3))</f>
        <v>0</v>
      </c>
      <c r="F8">
        <f t="shared" si="1"/>
        <v>0</v>
      </c>
      <c r="H8" t="s">
        <v>31</v>
      </c>
      <c r="I8">
        <f>IF(H8="","",SUMIFS('Egg Transfers'!$C$3:$C$2002,'Egg Transfers'!$B$3:$B$2002,H8,'Egg Transfers'!$A$3:$A$2002,"&gt;="&amp;'Control Panel'!$B$3,'Egg Transfers'!$A$3:$A$2002,"&lt;="&amp;'Control Panel'!$C$3))</f>
        <v>251</v>
      </c>
      <c r="J8">
        <f>IF(H8="","",SUMIFS('Sales Log'!$D$3:$D$2002,'Sales Log'!$B$3:$B$2002,"Egg Shop",'Sales Log'!$C$3:$C$2002,H8,'Sales Log'!$A$3:$A$2002,"&gt;="&amp;'Control Panel'!$B$3,'Sales Log'!$A$3:$A$2002,"&lt;="&amp;'Control Panel'!$C$3))</f>
        <v>251</v>
      </c>
      <c r="K8">
        <f t="shared" si="2"/>
        <v>0</v>
      </c>
    </row>
    <row r="9" spans="1:11">
      <c r="A9" t="s">
        <v>12</v>
      </c>
      <c r="B9" t="s">
        <v>33</v>
      </c>
      <c r="C9" t="str">
        <f t="shared" si="0"/>
        <v>Akatsi Feed|Crates</v>
      </c>
      <c r="D9">
        <f>IF(C9="","",SUMIFS(Purchases!$E$3:$E$2002,Purchases!$H$3:$H$2002,C9,Purchases!$A$3:$A$2002,"&gt;="&amp;'Control Panel'!$B$3,Purchases!$A$3:$A$2002,"&lt;="&amp;'Control Panel'!$C$3))</f>
        <v>84</v>
      </c>
      <c r="E9">
        <f>IF(C9="","",SUMIFS('Sales Log'!$D$3:$D$2002,'Sales Log'!$J$3:$J$2002,C9,'Sales Log'!$A$3:$A$2002,"&gt;="&amp;'Control Panel'!$B$3,'Sales Log'!$A$3:$A$2002,"&lt;="&amp;'Control Panel'!$C$3))</f>
        <v>48</v>
      </c>
      <c r="F9">
        <f t="shared" si="1"/>
        <v>36</v>
      </c>
      <c r="H9" t="s">
        <v>34</v>
      </c>
      <c r="I9">
        <f>IF(H9="","",SUMIFS('Egg Transfers'!$C$3:$C$2002,'Egg Transfers'!$B$3:$B$2002,H9,'Egg Transfers'!$A$3:$A$2002,"&gt;="&amp;'Control Panel'!$B$3,'Egg Transfers'!$A$3:$A$2002,"&lt;="&amp;'Control Panel'!$C$3))</f>
        <v>16.5</v>
      </c>
      <c r="J9">
        <f>IF(H9="","",SUMIFS('Sales Log'!$D$3:$D$2002,'Sales Log'!$B$3:$B$2002,"Egg Shop",'Sales Log'!$C$3:$C$2002,H9,'Sales Log'!$A$3:$A$2002,"&gt;="&amp;'Control Panel'!$B$3,'Sales Log'!$A$3:$A$2002,"&lt;="&amp;'Control Panel'!$C$3))</f>
        <v>16.5</v>
      </c>
      <c r="K9">
        <f t="shared" si="2"/>
        <v>0</v>
      </c>
    </row>
    <row r="10" spans="1:11">
      <c r="A10" t="s">
        <v>12</v>
      </c>
      <c r="B10" t="s">
        <v>14</v>
      </c>
      <c r="C10" t="str">
        <f t="shared" si="0"/>
        <v>Akatsi Feed|Extra Large</v>
      </c>
      <c r="D10">
        <f>IF(C10="","",SUMIFS(Purchases!$E$3:$E$2002,Purchases!$H$3:$H$2002,C10,Purchases!$A$3:$A$2002,"&gt;="&amp;'Control Panel'!$B$3,Purchases!$A$3:$A$2002,"&lt;="&amp;'Control Panel'!$C$3))</f>
        <v>0</v>
      </c>
      <c r="E10">
        <f>IF(C10="","",SUMIFS('Sales Log'!$D$3:$D$2002,'Sales Log'!$J$3:$J$2002,C10,'Sales Log'!$A$3:$A$2002,"&gt;="&amp;'Control Panel'!$B$3,'Sales Log'!$A$3:$A$2002,"&lt;="&amp;'Control Panel'!$C$3))</f>
        <v>0</v>
      </c>
      <c r="F10">
        <f t="shared" si="1"/>
        <v>0</v>
      </c>
    </row>
    <row r="11" spans="1:11">
      <c r="A11" t="s">
        <v>12</v>
      </c>
      <c r="B11" t="s">
        <v>18</v>
      </c>
      <c r="C11" t="str">
        <f t="shared" si="0"/>
        <v>Akatsi Feed|Large</v>
      </c>
      <c r="D11">
        <f>IF(C11="","",SUMIFS(Purchases!$E$3:$E$2002,Purchases!$H$3:$H$2002,C11,Purchases!$A$3:$A$2002,"&gt;="&amp;'Control Panel'!$B$3,Purchases!$A$3:$A$2002,"&lt;="&amp;'Control Panel'!$C$3))</f>
        <v>0</v>
      </c>
      <c r="E11">
        <f>IF(C11="","",SUMIFS('Sales Log'!$D$3:$D$2002,'Sales Log'!$J$3:$J$2002,C11,'Sales Log'!$A$3:$A$2002,"&gt;="&amp;'Control Panel'!$B$3,'Sales Log'!$A$3:$A$2002,"&lt;="&amp;'Control Panel'!$C$3))</f>
        <v>0</v>
      </c>
      <c r="F11">
        <f t="shared" si="1"/>
        <v>0</v>
      </c>
    </row>
    <row r="12" spans="1:11">
      <c r="A12" t="s">
        <v>12</v>
      </c>
      <c r="B12" t="s">
        <v>22</v>
      </c>
      <c r="C12" t="str">
        <f t="shared" si="0"/>
        <v>Akatsi Feed|Medium</v>
      </c>
      <c r="D12">
        <f>IF(C12="","",SUMIFS(Purchases!$E$3:$E$2002,Purchases!$H$3:$H$2002,C12,Purchases!$A$3:$A$2002,"&gt;="&amp;'Control Panel'!$B$3,Purchases!$A$3:$A$2002,"&lt;="&amp;'Control Panel'!$C$3))</f>
        <v>0</v>
      </c>
      <c r="E12">
        <f>IF(C12="","",SUMIFS('Sales Log'!$D$3:$D$2002,'Sales Log'!$J$3:$J$2002,C12,'Sales Log'!$A$3:$A$2002,"&gt;="&amp;'Control Panel'!$B$3,'Sales Log'!$A$3:$A$2002,"&lt;="&amp;'Control Panel'!$C$3))</f>
        <v>0</v>
      </c>
      <c r="F12">
        <f t="shared" si="1"/>
        <v>0</v>
      </c>
    </row>
    <row r="13" spans="1:11">
      <c r="A13" t="s">
        <v>12</v>
      </c>
      <c r="B13" t="s">
        <v>26</v>
      </c>
      <c r="C13" t="str">
        <f t="shared" si="0"/>
        <v>Akatsi Feed|Small</v>
      </c>
      <c r="D13">
        <f>IF(C13="","",SUMIFS(Purchases!$E$3:$E$2002,Purchases!$H$3:$H$2002,C13,Purchases!$A$3:$A$2002,"&gt;="&amp;'Control Panel'!$B$3,Purchases!$A$3:$A$2002,"&lt;="&amp;'Control Panel'!$C$3))</f>
        <v>0</v>
      </c>
      <c r="E13">
        <f>IF(C13="","",SUMIFS('Sales Log'!$D$3:$D$2002,'Sales Log'!$J$3:$J$2002,C13,'Sales Log'!$A$3:$A$2002,"&gt;="&amp;'Control Panel'!$B$3,'Sales Log'!$A$3:$A$2002,"&lt;="&amp;'Control Panel'!$C$3))</f>
        <v>0</v>
      </c>
      <c r="F13">
        <f t="shared" si="1"/>
        <v>0</v>
      </c>
    </row>
    <row r="14" spans="1:11">
      <c r="A14" t="s">
        <v>12</v>
      </c>
      <c r="B14" t="s">
        <v>29</v>
      </c>
      <c r="C14" t="str">
        <f t="shared" si="0"/>
        <v>Akatsi Feed|Pullet 1</v>
      </c>
      <c r="D14">
        <f>IF(C14="","",SUMIFS(Purchases!$E$3:$E$2002,Purchases!$H$3:$H$2002,C14,Purchases!$A$3:$A$2002,"&gt;="&amp;'Control Panel'!$B$3,Purchases!$A$3:$A$2002,"&lt;="&amp;'Control Panel'!$C$3))</f>
        <v>0</v>
      </c>
      <c r="E14">
        <f>IF(C14="","",SUMIFS('Sales Log'!$D$3:$D$2002,'Sales Log'!$J$3:$J$2002,C14,'Sales Log'!$A$3:$A$2002,"&gt;="&amp;'Control Panel'!$B$3,'Sales Log'!$A$3:$A$2002,"&lt;="&amp;'Control Panel'!$C$3))</f>
        <v>0</v>
      </c>
      <c r="F14">
        <f t="shared" si="1"/>
        <v>0</v>
      </c>
    </row>
    <row r="15" spans="1:11">
      <c r="A15" t="s">
        <v>12</v>
      </c>
      <c r="B15" t="s">
        <v>31</v>
      </c>
      <c r="C15" t="str">
        <f t="shared" si="0"/>
        <v>Akatsi Feed|Pullet 2</v>
      </c>
      <c r="D15">
        <f>IF(C15="","",SUMIFS(Purchases!$E$3:$E$2002,Purchases!$H$3:$H$2002,C15,Purchases!$A$3:$A$2002,"&gt;="&amp;'Control Panel'!$B$3,Purchases!$A$3:$A$2002,"&lt;="&amp;'Control Panel'!$C$3))</f>
        <v>0</v>
      </c>
      <c r="E15">
        <f>IF(C15="","",SUMIFS('Sales Log'!$D$3:$D$2002,'Sales Log'!$J$3:$J$2002,C15,'Sales Log'!$A$3:$A$2002,"&gt;="&amp;'Control Panel'!$B$3,'Sales Log'!$A$3:$A$2002,"&lt;="&amp;'Control Panel'!$C$3))</f>
        <v>0</v>
      </c>
      <c r="F15">
        <f t="shared" si="1"/>
        <v>0</v>
      </c>
    </row>
    <row r="16" spans="1:11">
      <c r="A16" t="s">
        <v>12</v>
      </c>
      <c r="B16" t="s">
        <v>34</v>
      </c>
      <c r="C16" t="str">
        <f t="shared" si="0"/>
        <v>Akatsi Feed|Broken</v>
      </c>
      <c r="D16">
        <f>IF(C16="","",SUMIFS(Purchases!$E$3:$E$2002,Purchases!$H$3:$H$2002,C16,Purchases!$A$3:$A$2002,"&gt;="&amp;'Control Panel'!$B$3,Purchases!$A$3:$A$2002,"&lt;="&amp;'Control Panel'!$C$3))</f>
        <v>0</v>
      </c>
      <c r="E16">
        <f>IF(C16="","",SUMIFS('Sales Log'!$D$3:$D$2002,'Sales Log'!$J$3:$J$2002,C16,'Sales Log'!$A$3:$A$2002,"&gt;="&amp;'Control Panel'!$B$3,'Sales Log'!$A$3:$A$2002,"&lt;="&amp;'Control Panel'!$C$3))</f>
        <v>0</v>
      </c>
      <c r="F16">
        <f t="shared" si="1"/>
        <v>0</v>
      </c>
    </row>
    <row r="17" spans="1:6">
      <c r="A17" t="s">
        <v>16</v>
      </c>
      <c r="B17" t="s">
        <v>13</v>
      </c>
      <c r="C17" t="str">
        <f t="shared" si="0"/>
        <v>Abor Feed|LM</v>
      </c>
      <c r="D17">
        <f>IF(C17="","",SUMIFS(Purchases!$E$3:$E$2002,Purchases!$H$3:$H$2002,C17,Purchases!$A$3:$A$2002,"&gt;="&amp;'Control Panel'!$B$3,Purchases!$A$3:$A$2002,"&lt;="&amp;'Control Panel'!$C$3))</f>
        <v>133</v>
      </c>
      <c r="E17">
        <f>IF(C17="","",SUMIFS('Sales Log'!$D$3:$D$2002,'Sales Log'!$J$3:$J$2002,C17,'Sales Log'!$A$3:$A$2002,"&gt;="&amp;'Control Panel'!$B$3,'Sales Log'!$A$3:$A$2002,"&lt;="&amp;'Control Panel'!$C$3))</f>
        <v>98</v>
      </c>
      <c r="F17">
        <f t="shared" si="1"/>
        <v>35</v>
      </c>
    </row>
    <row r="18" spans="1:6">
      <c r="A18" t="s">
        <v>16</v>
      </c>
      <c r="B18" t="s">
        <v>17</v>
      </c>
      <c r="C18" t="str">
        <f t="shared" si="0"/>
        <v>Abor Feed|GM</v>
      </c>
      <c r="D18">
        <f>IF(C18="","",SUMIFS(Purchases!$E$3:$E$2002,Purchases!$H$3:$H$2002,C18,Purchases!$A$3:$A$2002,"&gt;="&amp;'Control Panel'!$B$3,Purchases!$A$3:$A$2002,"&lt;="&amp;'Control Panel'!$C$3))</f>
        <v>21</v>
      </c>
      <c r="E18">
        <f>IF(C18="","",SUMIFS('Sales Log'!$D$3:$D$2002,'Sales Log'!$J$3:$J$2002,C18,'Sales Log'!$A$3:$A$2002,"&gt;="&amp;'Control Panel'!$B$3,'Sales Log'!$A$3:$A$2002,"&lt;="&amp;'Control Panel'!$C$3))</f>
        <v>11</v>
      </c>
      <c r="F18">
        <f t="shared" si="1"/>
        <v>10</v>
      </c>
    </row>
    <row r="19" spans="1:6">
      <c r="A19" t="s">
        <v>16</v>
      </c>
      <c r="B19" t="s">
        <v>21</v>
      </c>
      <c r="C19" t="str">
        <f t="shared" si="0"/>
        <v>Abor Feed|CM</v>
      </c>
      <c r="D19">
        <f>IF(C19="","",SUMIFS(Purchases!$E$3:$E$2002,Purchases!$H$3:$H$2002,C19,Purchases!$A$3:$A$2002,"&gt;="&amp;'Control Panel'!$B$3,Purchases!$A$3:$A$2002,"&lt;="&amp;'Control Panel'!$C$3))</f>
        <v>0</v>
      </c>
      <c r="E19">
        <f>IF(C19="","",SUMIFS('Sales Log'!$D$3:$D$2002,'Sales Log'!$J$3:$J$2002,C19,'Sales Log'!$A$3:$A$2002,"&gt;="&amp;'Control Panel'!$B$3,'Sales Log'!$A$3:$A$2002,"&lt;="&amp;'Control Panel'!$C$3))</f>
        <v>0</v>
      </c>
      <c r="F19">
        <f t="shared" si="1"/>
        <v>0</v>
      </c>
    </row>
    <row r="20" spans="1:6">
      <c r="A20" t="s">
        <v>16</v>
      </c>
      <c r="B20" t="s">
        <v>25</v>
      </c>
      <c r="C20" t="str">
        <f t="shared" si="0"/>
        <v>Abor Feed|BS</v>
      </c>
      <c r="D20">
        <f>IF(C20="","",SUMIFS(Purchases!$E$3:$E$2002,Purchases!$H$3:$H$2002,C20,Purchases!$A$3:$A$2002,"&gt;="&amp;'Control Panel'!$B$3,Purchases!$A$3:$A$2002,"&lt;="&amp;'Control Panel'!$C$3))</f>
        <v>0</v>
      </c>
      <c r="E20">
        <f>IF(C20="","",SUMIFS('Sales Log'!$D$3:$D$2002,'Sales Log'!$J$3:$J$2002,C20,'Sales Log'!$A$3:$A$2002,"&gt;="&amp;'Control Panel'!$B$3,'Sales Log'!$A$3:$A$2002,"&lt;="&amp;'Control Panel'!$C$3))</f>
        <v>0</v>
      </c>
      <c r="F20">
        <f t="shared" si="1"/>
        <v>0</v>
      </c>
    </row>
    <row r="21" spans="1:6">
      <c r="A21" t="s">
        <v>16</v>
      </c>
      <c r="B21" t="s">
        <v>28</v>
      </c>
      <c r="C21" t="str">
        <f t="shared" si="0"/>
        <v>Abor Feed|Hend 5%</v>
      </c>
      <c r="D21">
        <f>IF(C21="","",SUMIFS(Purchases!$E$3:$E$2002,Purchases!$H$3:$H$2002,C21,Purchases!$A$3:$A$2002,"&gt;="&amp;'Control Panel'!$B$3,Purchases!$A$3:$A$2002,"&lt;="&amp;'Control Panel'!$C$3))</f>
        <v>0</v>
      </c>
      <c r="E21">
        <f>IF(C21="","",SUMIFS('Sales Log'!$D$3:$D$2002,'Sales Log'!$J$3:$J$2002,C21,'Sales Log'!$A$3:$A$2002,"&gt;="&amp;'Control Panel'!$B$3,'Sales Log'!$A$3:$A$2002,"&lt;="&amp;'Control Panel'!$C$3))</f>
        <v>0</v>
      </c>
      <c r="F21">
        <f t="shared" si="1"/>
        <v>0</v>
      </c>
    </row>
    <row r="22" spans="1:6">
      <c r="A22" t="s">
        <v>16</v>
      </c>
      <c r="B22" t="s">
        <v>27</v>
      </c>
      <c r="C22" t="str">
        <f t="shared" si="0"/>
        <v>Abor Feed|GMG</v>
      </c>
      <c r="D22">
        <f>IF(C22="","",SUMIFS(Purchases!$E$3:$E$2002,Purchases!$H$3:$H$2002,C22,Purchases!$A$3:$A$2002,"&gt;="&amp;'Control Panel'!$B$3,Purchases!$A$3:$A$2002,"&lt;="&amp;'Control Panel'!$C$3))</f>
        <v>0</v>
      </c>
      <c r="E22">
        <f>IF(C22="","",SUMIFS('Sales Log'!$D$3:$D$2002,'Sales Log'!$J$3:$J$2002,C22,'Sales Log'!$A$3:$A$2002,"&gt;="&amp;'Control Panel'!$B$3,'Sales Log'!$A$3:$A$2002,"&lt;="&amp;'Control Panel'!$C$3))</f>
        <v>0</v>
      </c>
      <c r="F22">
        <f t="shared" si="1"/>
        <v>0</v>
      </c>
    </row>
    <row r="23" spans="1:6">
      <c r="A23" t="s">
        <v>16</v>
      </c>
      <c r="B23" t="s">
        <v>33</v>
      </c>
      <c r="C23" t="str">
        <f t="shared" si="0"/>
        <v>Abor Feed|Crates</v>
      </c>
      <c r="D23">
        <f>IF(C23="","",SUMIFS(Purchases!$E$3:$E$2002,Purchases!$H$3:$H$2002,C23,Purchases!$A$3:$A$2002,"&gt;="&amp;'Control Panel'!$B$3,Purchases!$A$3:$A$2002,"&lt;="&amp;'Control Panel'!$C$3))</f>
        <v>20</v>
      </c>
      <c r="E23">
        <f>IF(C23="","",SUMIFS('Sales Log'!$D$3:$D$2002,'Sales Log'!$J$3:$J$2002,C23,'Sales Log'!$A$3:$A$2002,"&gt;="&amp;'Control Panel'!$B$3,'Sales Log'!$A$3:$A$2002,"&lt;="&amp;'Control Panel'!$C$3))</f>
        <v>2</v>
      </c>
      <c r="F23">
        <f t="shared" si="1"/>
        <v>18</v>
      </c>
    </row>
    <row r="24" spans="1:6">
      <c r="A24" t="s">
        <v>16</v>
      </c>
      <c r="B24" t="s">
        <v>14</v>
      </c>
      <c r="C24" t="str">
        <f t="shared" si="0"/>
        <v>Abor Feed|Extra Large</v>
      </c>
      <c r="D24">
        <f>IF(C24="","",SUMIFS(Purchases!$E$3:$E$2002,Purchases!$H$3:$H$2002,C24,Purchases!$A$3:$A$2002,"&gt;="&amp;'Control Panel'!$B$3,Purchases!$A$3:$A$2002,"&lt;="&amp;'Control Panel'!$C$3))</f>
        <v>0</v>
      </c>
      <c r="E24">
        <f>IF(C24="","",SUMIFS('Sales Log'!$D$3:$D$2002,'Sales Log'!$J$3:$J$2002,C24,'Sales Log'!$A$3:$A$2002,"&gt;="&amp;'Control Panel'!$B$3,'Sales Log'!$A$3:$A$2002,"&lt;="&amp;'Control Panel'!$C$3))</f>
        <v>0</v>
      </c>
      <c r="F24">
        <f t="shared" si="1"/>
        <v>0</v>
      </c>
    </row>
    <row r="25" spans="1:6">
      <c r="A25" t="s">
        <v>16</v>
      </c>
      <c r="B25" t="s">
        <v>18</v>
      </c>
      <c r="C25" t="str">
        <f t="shared" si="0"/>
        <v>Abor Feed|Large</v>
      </c>
      <c r="D25">
        <f>IF(C25="","",SUMIFS(Purchases!$E$3:$E$2002,Purchases!$H$3:$H$2002,C25,Purchases!$A$3:$A$2002,"&gt;="&amp;'Control Panel'!$B$3,Purchases!$A$3:$A$2002,"&lt;="&amp;'Control Panel'!$C$3))</f>
        <v>0</v>
      </c>
      <c r="E25">
        <f>IF(C25="","",SUMIFS('Sales Log'!$D$3:$D$2002,'Sales Log'!$J$3:$J$2002,C25,'Sales Log'!$A$3:$A$2002,"&gt;="&amp;'Control Panel'!$B$3,'Sales Log'!$A$3:$A$2002,"&lt;="&amp;'Control Panel'!$C$3))</f>
        <v>0</v>
      </c>
      <c r="F25">
        <f t="shared" si="1"/>
        <v>0</v>
      </c>
    </row>
    <row r="26" spans="1:6">
      <c r="A26" t="s">
        <v>16</v>
      </c>
      <c r="B26" t="s">
        <v>22</v>
      </c>
      <c r="C26" t="str">
        <f t="shared" si="0"/>
        <v>Abor Feed|Medium</v>
      </c>
      <c r="D26">
        <f>IF(C26="","",SUMIFS(Purchases!$E$3:$E$2002,Purchases!$H$3:$H$2002,C26,Purchases!$A$3:$A$2002,"&gt;="&amp;'Control Panel'!$B$3,Purchases!$A$3:$A$2002,"&lt;="&amp;'Control Panel'!$C$3))</f>
        <v>0</v>
      </c>
      <c r="E26">
        <f>IF(C26="","",SUMIFS('Sales Log'!$D$3:$D$2002,'Sales Log'!$J$3:$J$2002,C26,'Sales Log'!$A$3:$A$2002,"&gt;="&amp;'Control Panel'!$B$3,'Sales Log'!$A$3:$A$2002,"&lt;="&amp;'Control Panel'!$C$3))</f>
        <v>0</v>
      </c>
      <c r="F26">
        <f t="shared" si="1"/>
        <v>0</v>
      </c>
    </row>
    <row r="27" spans="1:6">
      <c r="A27" t="s">
        <v>16</v>
      </c>
      <c r="B27" t="s">
        <v>26</v>
      </c>
      <c r="C27" t="str">
        <f t="shared" si="0"/>
        <v>Abor Feed|Small</v>
      </c>
      <c r="D27">
        <f>IF(C27="","",SUMIFS(Purchases!$E$3:$E$2002,Purchases!$H$3:$H$2002,C27,Purchases!$A$3:$A$2002,"&gt;="&amp;'Control Panel'!$B$3,Purchases!$A$3:$A$2002,"&lt;="&amp;'Control Panel'!$C$3))</f>
        <v>0</v>
      </c>
      <c r="E27">
        <f>IF(C27="","",SUMIFS('Sales Log'!$D$3:$D$2002,'Sales Log'!$J$3:$J$2002,C27,'Sales Log'!$A$3:$A$2002,"&gt;="&amp;'Control Panel'!$B$3,'Sales Log'!$A$3:$A$2002,"&lt;="&amp;'Control Panel'!$C$3))</f>
        <v>0</v>
      </c>
      <c r="F27">
        <f t="shared" si="1"/>
        <v>0</v>
      </c>
    </row>
    <row r="28" spans="1:6">
      <c r="A28" t="s">
        <v>16</v>
      </c>
      <c r="B28" t="s">
        <v>29</v>
      </c>
      <c r="C28" t="str">
        <f t="shared" si="0"/>
        <v>Abor Feed|Pullet 1</v>
      </c>
      <c r="D28">
        <f>IF(C28="","",SUMIFS(Purchases!$E$3:$E$2002,Purchases!$H$3:$H$2002,C28,Purchases!$A$3:$A$2002,"&gt;="&amp;'Control Panel'!$B$3,Purchases!$A$3:$A$2002,"&lt;="&amp;'Control Panel'!$C$3))</f>
        <v>0</v>
      </c>
      <c r="E28">
        <f>IF(C28="","",SUMIFS('Sales Log'!$D$3:$D$2002,'Sales Log'!$J$3:$J$2002,C28,'Sales Log'!$A$3:$A$2002,"&gt;="&amp;'Control Panel'!$B$3,'Sales Log'!$A$3:$A$2002,"&lt;="&amp;'Control Panel'!$C$3))</f>
        <v>0</v>
      </c>
      <c r="F28">
        <f t="shared" si="1"/>
        <v>0</v>
      </c>
    </row>
    <row r="29" spans="1:6">
      <c r="A29" t="s">
        <v>16</v>
      </c>
      <c r="B29" t="s">
        <v>31</v>
      </c>
      <c r="C29" t="str">
        <f t="shared" si="0"/>
        <v>Abor Feed|Pullet 2</v>
      </c>
      <c r="D29">
        <f>IF(C29="","",SUMIFS(Purchases!$E$3:$E$2002,Purchases!$H$3:$H$2002,C29,Purchases!$A$3:$A$2002,"&gt;="&amp;'Control Panel'!$B$3,Purchases!$A$3:$A$2002,"&lt;="&amp;'Control Panel'!$C$3))</f>
        <v>0</v>
      </c>
      <c r="E29">
        <f>IF(C29="","",SUMIFS('Sales Log'!$D$3:$D$2002,'Sales Log'!$J$3:$J$2002,C29,'Sales Log'!$A$3:$A$2002,"&gt;="&amp;'Control Panel'!$B$3,'Sales Log'!$A$3:$A$2002,"&lt;="&amp;'Control Panel'!$C$3))</f>
        <v>0</v>
      </c>
      <c r="F29">
        <f t="shared" si="1"/>
        <v>0</v>
      </c>
    </row>
    <row r="30" spans="1:6">
      <c r="A30" t="s">
        <v>16</v>
      </c>
      <c r="B30" t="s">
        <v>34</v>
      </c>
      <c r="C30" t="str">
        <f t="shared" si="0"/>
        <v>Abor Feed|Broken</v>
      </c>
      <c r="D30">
        <f>IF(C30="","",SUMIFS(Purchases!$E$3:$E$2002,Purchases!$H$3:$H$2002,C30,Purchases!$A$3:$A$2002,"&gt;="&amp;'Control Panel'!$B$3,Purchases!$A$3:$A$2002,"&lt;="&amp;'Control Panel'!$C$3))</f>
        <v>0</v>
      </c>
      <c r="E30">
        <f>IF(C30="","",SUMIFS('Sales Log'!$D$3:$D$2002,'Sales Log'!$J$3:$J$2002,C30,'Sales Log'!$A$3:$A$2002,"&gt;="&amp;'Control Panel'!$B$3,'Sales Log'!$A$3:$A$2002,"&lt;="&amp;'Control Panel'!$C$3))</f>
        <v>0</v>
      </c>
      <c r="F30">
        <f t="shared" si="1"/>
        <v>0</v>
      </c>
    </row>
    <row r="31" spans="1:6">
      <c r="A31" t="s">
        <v>20</v>
      </c>
      <c r="B31" t="s">
        <v>13</v>
      </c>
      <c r="C31" t="str">
        <f t="shared" si="0"/>
        <v>Mobile Shop|LM</v>
      </c>
      <c r="D31">
        <f>IF(C31="","",SUMIFS(Purchases!$E$3:$E$2002,Purchases!$H$3:$H$2002,C31,Purchases!$A$3:$A$2002,"&gt;="&amp;'Control Panel'!$B$3,Purchases!$A$3:$A$2002,"&lt;="&amp;'Control Panel'!$C$3))</f>
        <v>193</v>
      </c>
      <c r="E31">
        <f>IF(C31="","",SUMIFS('Sales Log'!$D$3:$D$2002,'Sales Log'!$J$3:$J$2002,C31,'Sales Log'!$A$3:$A$2002,"&gt;="&amp;'Control Panel'!$B$3,'Sales Log'!$A$3:$A$2002,"&lt;="&amp;'Control Panel'!$C$3))</f>
        <v>143</v>
      </c>
      <c r="F31">
        <f t="shared" si="1"/>
        <v>50</v>
      </c>
    </row>
    <row r="32" spans="1:6">
      <c r="A32" t="s">
        <v>20</v>
      </c>
      <c r="B32" t="s">
        <v>17</v>
      </c>
      <c r="C32" t="str">
        <f t="shared" si="0"/>
        <v>Mobile Shop|GM</v>
      </c>
      <c r="D32">
        <f>IF(C32="","",SUMIFS(Purchases!$E$3:$E$2002,Purchases!$H$3:$H$2002,C32,Purchases!$A$3:$A$2002,"&gt;="&amp;'Control Panel'!$B$3,Purchases!$A$3:$A$2002,"&lt;="&amp;'Control Panel'!$C$3))</f>
        <v>2</v>
      </c>
      <c r="E32">
        <f>IF(C32="","",SUMIFS('Sales Log'!$D$3:$D$2002,'Sales Log'!$J$3:$J$2002,C32,'Sales Log'!$A$3:$A$2002,"&gt;="&amp;'Control Panel'!$B$3,'Sales Log'!$A$3:$A$2002,"&lt;="&amp;'Control Panel'!$C$3))</f>
        <v>2</v>
      </c>
      <c r="F32">
        <f t="shared" si="1"/>
        <v>0</v>
      </c>
    </row>
    <row r="33" spans="1:6">
      <c r="A33" t="s">
        <v>20</v>
      </c>
      <c r="B33" t="s">
        <v>21</v>
      </c>
      <c r="C33" t="str">
        <f t="shared" si="0"/>
        <v>Mobile Shop|CM</v>
      </c>
      <c r="D33">
        <f>IF(C33="","",SUMIFS(Purchases!$E$3:$E$2002,Purchases!$H$3:$H$2002,C33,Purchases!$A$3:$A$2002,"&gt;="&amp;'Control Panel'!$B$3,Purchases!$A$3:$A$2002,"&lt;="&amp;'Control Panel'!$C$3))</f>
        <v>0</v>
      </c>
      <c r="E33">
        <f>IF(C33="","",SUMIFS('Sales Log'!$D$3:$D$2002,'Sales Log'!$J$3:$J$2002,C33,'Sales Log'!$A$3:$A$2002,"&gt;="&amp;'Control Panel'!$B$3,'Sales Log'!$A$3:$A$2002,"&lt;="&amp;'Control Panel'!$C$3))</f>
        <v>0</v>
      </c>
      <c r="F33">
        <f t="shared" si="1"/>
        <v>0</v>
      </c>
    </row>
    <row r="34" spans="1:6">
      <c r="A34" t="s">
        <v>20</v>
      </c>
      <c r="B34" t="s">
        <v>25</v>
      </c>
      <c r="C34" t="str">
        <f t="shared" si="0"/>
        <v>Mobile Shop|BS</v>
      </c>
      <c r="D34">
        <f>IF(C34="","",SUMIFS(Purchases!$E$3:$E$2002,Purchases!$H$3:$H$2002,C34,Purchases!$A$3:$A$2002,"&gt;="&amp;'Control Panel'!$B$3,Purchases!$A$3:$A$2002,"&lt;="&amp;'Control Panel'!$C$3))</f>
        <v>0</v>
      </c>
      <c r="E34">
        <f>IF(C34="","",SUMIFS('Sales Log'!$D$3:$D$2002,'Sales Log'!$J$3:$J$2002,C34,'Sales Log'!$A$3:$A$2002,"&gt;="&amp;'Control Panel'!$B$3,'Sales Log'!$A$3:$A$2002,"&lt;="&amp;'Control Panel'!$C$3))</f>
        <v>0</v>
      </c>
      <c r="F34">
        <f t="shared" si="1"/>
        <v>0</v>
      </c>
    </row>
    <row r="35" spans="1:6">
      <c r="A35" t="s">
        <v>20</v>
      </c>
      <c r="B35" t="s">
        <v>28</v>
      </c>
      <c r="C35" t="str">
        <f t="shared" si="0"/>
        <v>Mobile Shop|Hend 5%</v>
      </c>
      <c r="D35">
        <f>IF(C35="","",SUMIFS(Purchases!$E$3:$E$2002,Purchases!$H$3:$H$2002,C35,Purchases!$A$3:$A$2002,"&gt;="&amp;'Control Panel'!$B$3,Purchases!$A$3:$A$2002,"&lt;="&amp;'Control Panel'!$C$3))</f>
        <v>14</v>
      </c>
      <c r="E35">
        <f>IF(C35="","",SUMIFS('Sales Log'!$D$3:$D$2002,'Sales Log'!$J$3:$J$2002,C35,'Sales Log'!$A$3:$A$2002,"&gt;="&amp;'Control Panel'!$B$3,'Sales Log'!$A$3:$A$2002,"&lt;="&amp;'Control Panel'!$C$3))</f>
        <v>10</v>
      </c>
      <c r="F35">
        <f t="shared" si="1"/>
        <v>4</v>
      </c>
    </row>
    <row r="36" spans="1:6">
      <c r="A36" t="s">
        <v>20</v>
      </c>
      <c r="B36" t="s">
        <v>27</v>
      </c>
      <c r="C36" t="str">
        <f t="shared" si="0"/>
        <v>Mobile Shop|GMG</v>
      </c>
      <c r="D36">
        <f>IF(C36="","",SUMIFS(Purchases!$E$3:$E$2002,Purchases!$H$3:$H$2002,C36,Purchases!$A$3:$A$2002,"&gt;="&amp;'Control Panel'!$B$3,Purchases!$A$3:$A$2002,"&lt;="&amp;'Control Panel'!$C$3))</f>
        <v>0</v>
      </c>
      <c r="E36">
        <f>IF(C36="","",SUMIFS('Sales Log'!$D$3:$D$2002,'Sales Log'!$J$3:$J$2002,C36,'Sales Log'!$A$3:$A$2002,"&gt;="&amp;'Control Panel'!$B$3,'Sales Log'!$A$3:$A$2002,"&lt;="&amp;'Control Panel'!$C$3))</f>
        <v>0</v>
      </c>
      <c r="F36">
        <f t="shared" si="1"/>
        <v>0</v>
      </c>
    </row>
    <row r="37" spans="1:6">
      <c r="A37" t="s">
        <v>20</v>
      </c>
      <c r="B37" t="s">
        <v>33</v>
      </c>
      <c r="C37" t="str">
        <f t="shared" si="0"/>
        <v>Mobile Shop|Crates</v>
      </c>
      <c r="D37">
        <f>IF(C37="","",SUMIFS(Purchases!$E$3:$E$2002,Purchases!$H$3:$H$2002,C37,Purchases!$A$3:$A$2002,"&gt;="&amp;'Control Panel'!$B$3,Purchases!$A$3:$A$2002,"&lt;="&amp;'Control Panel'!$C$3))</f>
        <v>0</v>
      </c>
      <c r="E37">
        <f>IF(C37="","",SUMIFS('Sales Log'!$D$3:$D$2002,'Sales Log'!$J$3:$J$2002,C37,'Sales Log'!$A$3:$A$2002,"&gt;="&amp;'Control Panel'!$B$3,'Sales Log'!$A$3:$A$2002,"&lt;="&amp;'Control Panel'!$C$3))</f>
        <v>0</v>
      </c>
      <c r="F37">
        <f t="shared" si="1"/>
        <v>0</v>
      </c>
    </row>
  </sheetData>
  <sheetProtection password="EF81" sheet="1"/>
  <mergeCells count="2">
    <mergeCell ref="H1:K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E27"/>
  <sheetViews>
    <sheetView topLeftCell="A2" workbookViewId="0">
      <selection sqref="A1:E1"/>
    </sheetView>
  </sheetViews>
  <sheetFormatPr defaultRowHeight="14.4"/>
  <cols>
    <col min="1" max="1" width="14" style="30" customWidth="1"/>
    <col min="2" max="2" width="16" style="30" customWidth="1"/>
    <col min="3" max="3" width="14" style="30" customWidth="1"/>
    <col min="4" max="4" width="16" style="30" customWidth="1"/>
    <col min="5" max="5" width="30" style="30" customWidth="1"/>
  </cols>
  <sheetData>
    <row r="1" spans="1:5" ht="15.6" customHeight="1">
      <c r="A1" s="49" t="s">
        <v>124</v>
      </c>
      <c r="B1" s="46"/>
      <c r="C1" s="46"/>
      <c r="D1" s="46"/>
      <c r="E1" s="46"/>
    </row>
    <row r="2" spans="1:5">
      <c r="A2" s="4" t="s">
        <v>96</v>
      </c>
      <c r="B2" s="4" t="s">
        <v>125</v>
      </c>
      <c r="C2" s="4" t="s">
        <v>126</v>
      </c>
      <c r="D2" s="4" t="s">
        <v>127</v>
      </c>
      <c r="E2" s="4" t="s">
        <v>43</v>
      </c>
    </row>
    <row r="3" spans="1:5">
      <c r="A3" s="28">
        <v>46113</v>
      </c>
      <c r="B3" t="s">
        <v>15</v>
      </c>
      <c r="C3" t="s">
        <v>128</v>
      </c>
      <c r="D3">
        <v>2940</v>
      </c>
    </row>
    <row r="4" spans="1:5">
      <c r="A4" s="28">
        <v>46113</v>
      </c>
      <c r="B4" t="s">
        <v>19</v>
      </c>
      <c r="C4" t="s">
        <v>128</v>
      </c>
      <c r="D4">
        <v>1400</v>
      </c>
    </row>
    <row r="5" spans="1:5">
      <c r="A5" s="28">
        <v>46113</v>
      </c>
      <c r="B5" t="s">
        <v>23</v>
      </c>
      <c r="C5" t="s">
        <v>128</v>
      </c>
      <c r="D5">
        <v>730</v>
      </c>
    </row>
    <row r="6" spans="1:5">
      <c r="A6" s="28">
        <v>46113</v>
      </c>
      <c r="B6" t="s">
        <v>27</v>
      </c>
      <c r="C6" t="s">
        <v>128</v>
      </c>
      <c r="D6">
        <v>200</v>
      </c>
    </row>
    <row r="7" spans="1:5">
      <c r="A7" s="28">
        <v>46113</v>
      </c>
      <c r="B7" t="s">
        <v>30</v>
      </c>
      <c r="C7" t="s">
        <v>128</v>
      </c>
      <c r="D7">
        <v>200</v>
      </c>
    </row>
    <row r="8" spans="1:5">
      <c r="A8" s="28">
        <v>46113</v>
      </c>
      <c r="B8" t="s">
        <v>129</v>
      </c>
      <c r="C8" t="s">
        <v>128</v>
      </c>
      <c r="D8">
        <v>210</v>
      </c>
    </row>
    <row r="9" spans="1:5">
      <c r="A9" s="28">
        <v>46113</v>
      </c>
      <c r="B9" t="s">
        <v>35</v>
      </c>
      <c r="C9" t="s">
        <v>38</v>
      </c>
      <c r="D9">
        <v>150</v>
      </c>
    </row>
    <row r="10" spans="1:5">
      <c r="A10" s="28">
        <v>46115</v>
      </c>
      <c r="B10" t="s">
        <v>15</v>
      </c>
      <c r="C10" t="s">
        <v>128</v>
      </c>
      <c r="D10">
        <v>7520</v>
      </c>
    </row>
    <row r="11" spans="1:5">
      <c r="A11" s="28">
        <v>46115</v>
      </c>
      <c r="B11" t="s">
        <v>19</v>
      </c>
      <c r="C11" t="s">
        <v>128</v>
      </c>
      <c r="D11">
        <v>3850</v>
      </c>
    </row>
    <row r="12" spans="1:5">
      <c r="A12" s="28">
        <v>46115</v>
      </c>
      <c r="B12" t="s">
        <v>23</v>
      </c>
      <c r="C12" t="s">
        <v>128</v>
      </c>
      <c r="D12">
        <v>2190</v>
      </c>
    </row>
    <row r="13" spans="1:5">
      <c r="A13" s="28">
        <v>46115</v>
      </c>
      <c r="B13" t="s">
        <v>27</v>
      </c>
      <c r="C13" t="s">
        <v>128</v>
      </c>
      <c r="D13">
        <v>600</v>
      </c>
    </row>
    <row r="14" spans="1:5">
      <c r="A14" s="28">
        <v>46115</v>
      </c>
      <c r="B14" t="s">
        <v>30</v>
      </c>
      <c r="C14" t="s">
        <v>128</v>
      </c>
      <c r="D14">
        <v>600</v>
      </c>
    </row>
    <row r="15" spans="1:5">
      <c r="A15" s="28">
        <v>46115</v>
      </c>
      <c r="B15" t="s">
        <v>129</v>
      </c>
      <c r="C15" t="s">
        <v>128</v>
      </c>
      <c r="D15">
        <v>600</v>
      </c>
    </row>
    <row r="16" spans="1:5">
      <c r="A16" s="28">
        <v>46115</v>
      </c>
      <c r="B16" t="s">
        <v>35</v>
      </c>
      <c r="C16" t="s">
        <v>38</v>
      </c>
      <c r="D16">
        <v>1000</v>
      </c>
    </row>
    <row r="17" spans="1:4">
      <c r="A17" s="28">
        <v>46115</v>
      </c>
      <c r="B17" t="s">
        <v>35</v>
      </c>
      <c r="C17" t="s">
        <v>38</v>
      </c>
      <c r="D17">
        <v>250</v>
      </c>
    </row>
    <row r="18" spans="1:4">
      <c r="A18" s="28">
        <v>46118</v>
      </c>
      <c r="B18" t="s">
        <v>35</v>
      </c>
      <c r="C18" t="s">
        <v>38</v>
      </c>
      <c r="D18">
        <v>830</v>
      </c>
    </row>
    <row r="19" spans="1:4">
      <c r="A19" s="28">
        <v>46122</v>
      </c>
      <c r="B19" t="s">
        <v>35</v>
      </c>
      <c r="C19" t="s">
        <v>38</v>
      </c>
      <c r="D19">
        <v>150</v>
      </c>
    </row>
    <row r="20" spans="1:4">
      <c r="A20" s="28">
        <v>46123</v>
      </c>
      <c r="B20" t="s">
        <v>36</v>
      </c>
      <c r="C20" t="s">
        <v>36</v>
      </c>
      <c r="D20">
        <v>1295</v>
      </c>
    </row>
    <row r="21" spans="1:4">
      <c r="A21" s="28">
        <v>46123</v>
      </c>
      <c r="B21" t="s">
        <v>15</v>
      </c>
      <c r="C21" t="s">
        <v>128</v>
      </c>
      <c r="D21">
        <v>1400</v>
      </c>
    </row>
    <row r="22" spans="1:4">
      <c r="A22" s="28">
        <v>46123</v>
      </c>
      <c r="B22" t="s">
        <v>19</v>
      </c>
      <c r="C22" t="s">
        <v>128</v>
      </c>
      <c r="D22">
        <v>700</v>
      </c>
    </row>
    <row r="23" spans="1:4">
      <c r="A23" s="28">
        <v>46123</v>
      </c>
      <c r="B23" t="s">
        <v>23</v>
      </c>
      <c r="C23" t="s">
        <v>128</v>
      </c>
    </row>
    <row r="24" spans="1:4">
      <c r="A24" s="28">
        <v>46123</v>
      </c>
      <c r="B24" t="s">
        <v>27</v>
      </c>
      <c r="C24" t="s">
        <v>128</v>
      </c>
      <c r="D24">
        <v>100</v>
      </c>
    </row>
    <row r="25" spans="1:4">
      <c r="A25" s="28">
        <v>46123</v>
      </c>
      <c r="B25" t="s">
        <v>30</v>
      </c>
      <c r="C25" t="s">
        <v>128</v>
      </c>
      <c r="D25">
        <v>100</v>
      </c>
    </row>
    <row r="26" spans="1:4">
      <c r="A26" s="28">
        <v>46123</v>
      </c>
      <c r="B26" t="s">
        <v>129</v>
      </c>
      <c r="C26" t="s">
        <v>128</v>
      </c>
      <c r="D26">
        <v>100</v>
      </c>
    </row>
    <row r="27" spans="1:4">
      <c r="A27" s="28">
        <v>46123</v>
      </c>
      <c r="B27" t="s">
        <v>35</v>
      </c>
      <c r="C27" t="s">
        <v>38</v>
      </c>
      <c r="D27">
        <v>100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D77"/>
  <sheetViews>
    <sheetView workbookViewId="0">
      <pane ySplit="2" topLeftCell="A53" activePane="bottomLeft" state="frozen"/>
      <selection pane="bottomLeft" activeCell="C69" sqref="C69"/>
    </sheetView>
  </sheetViews>
  <sheetFormatPr defaultRowHeight="14.4"/>
  <cols>
    <col min="1" max="1" width="14" style="30" customWidth="1"/>
    <col min="2" max="2" width="16" style="30" customWidth="1"/>
    <col min="3" max="3" width="22" style="30" customWidth="1"/>
    <col min="4" max="4" width="30" style="30" customWidth="1"/>
  </cols>
  <sheetData>
    <row r="1" spans="1:4" ht="15.6" customHeight="1">
      <c r="A1" s="49" t="s">
        <v>130</v>
      </c>
      <c r="B1" s="46"/>
      <c r="C1" s="46"/>
      <c r="D1" s="46"/>
    </row>
    <row r="2" spans="1:4">
      <c r="A2" s="4" t="s">
        <v>96</v>
      </c>
      <c r="B2" s="4" t="s">
        <v>99</v>
      </c>
      <c r="C2" s="4" t="s">
        <v>131</v>
      </c>
      <c r="D2" s="4" t="s">
        <v>43</v>
      </c>
    </row>
    <row r="3" spans="1:4">
      <c r="A3" s="28">
        <v>46115</v>
      </c>
      <c r="B3" t="s">
        <v>18</v>
      </c>
      <c r="C3">
        <v>13</v>
      </c>
    </row>
    <row r="4" spans="1:4">
      <c r="A4" s="28">
        <v>46115</v>
      </c>
      <c r="B4" t="s">
        <v>22</v>
      </c>
      <c r="C4">
        <v>55</v>
      </c>
    </row>
    <row r="5" spans="1:4">
      <c r="A5" s="28">
        <v>46115</v>
      </c>
      <c r="B5" t="s">
        <v>26</v>
      </c>
      <c r="C5">
        <v>105</v>
      </c>
    </row>
    <row r="6" spans="1:4">
      <c r="A6" s="28">
        <v>46115</v>
      </c>
      <c r="B6" t="s">
        <v>29</v>
      </c>
      <c r="C6">
        <v>126</v>
      </c>
    </row>
    <row r="7" spans="1:4">
      <c r="A7" s="28">
        <v>46115</v>
      </c>
      <c r="B7" t="s">
        <v>31</v>
      </c>
      <c r="C7">
        <v>45</v>
      </c>
    </row>
    <row r="8" spans="1:4">
      <c r="A8" s="28">
        <v>46115</v>
      </c>
      <c r="B8" t="s">
        <v>34</v>
      </c>
      <c r="C8">
        <v>0</v>
      </c>
    </row>
    <row r="9" spans="1:4">
      <c r="A9" s="28">
        <v>46118</v>
      </c>
      <c r="B9" t="s">
        <v>18</v>
      </c>
      <c r="C9">
        <v>10</v>
      </c>
    </row>
    <row r="10" spans="1:4">
      <c r="A10" s="28">
        <v>46118</v>
      </c>
      <c r="B10" t="s">
        <v>22</v>
      </c>
      <c r="C10">
        <v>40</v>
      </c>
    </row>
    <row r="11" spans="1:4">
      <c r="A11" s="28">
        <v>46118</v>
      </c>
      <c r="B11" t="s">
        <v>26</v>
      </c>
      <c r="C11">
        <v>80</v>
      </c>
    </row>
    <row r="12" spans="1:4">
      <c r="A12" s="28">
        <v>46118</v>
      </c>
      <c r="B12" t="s">
        <v>29</v>
      </c>
      <c r="C12">
        <v>80</v>
      </c>
    </row>
    <row r="13" spans="1:4">
      <c r="A13" s="28">
        <v>46118</v>
      </c>
      <c r="B13" t="s">
        <v>31</v>
      </c>
      <c r="C13">
        <v>30</v>
      </c>
    </row>
    <row r="14" spans="1:4">
      <c r="A14" s="28">
        <v>46118</v>
      </c>
      <c r="B14" t="s">
        <v>34</v>
      </c>
      <c r="C14">
        <v>0</v>
      </c>
    </row>
    <row r="15" spans="1:4">
      <c r="A15" s="28">
        <v>46119</v>
      </c>
      <c r="B15" t="s">
        <v>18</v>
      </c>
      <c r="C15">
        <v>10</v>
      </c>
    </row>
    <row r="16" spans="1:4">
      <c r="A16" s="28">
        <v>46119</v>
      </c>
      <c r="B16" t="s">
        <v>22</v>
      </c>
      <c r="C16">
        <v>19</v>
      </c>
    </row>
    <row r="17" spans="1:3">
      <c r="A17" s="28">
        <v>46119</v>
      </c>
      <c r="B17" t="s">
        <v>26</v>
      </c>
      <c r="C17">
        <v>34</v>
      </c>
    </row>
    <row r="18" spans="1:3">
      <c r="A18" s="28">
        <v>46119</v>
      </c>
      <c r="B18" t="s">
        <v>29</v>
      </c>
      <c r="C18">
        <v>28</v>
      </c>
    </row>
    <row r="19" spans="1:3">
      <c r="A19" s="28">
        <v>46119</v>
      </c>
      <c r="B19" t="s">
        <v>31</v>
      </c>
      <c r="C19">
        <v>13</v>
      </c>
    </row>
    <row r="20" spans="1:3">
      <c r="A20" s="28">
        <v>46119</v>
      </c>
      <c r="B20" t="s">
        <v>34</v>
      </c>
      <c r="C20">
        <v>0</v>
      </c>
    </row>
    <row r="21" spans="1:3">
      <c r="A21" s="28">
        <v>46121</v>
      </c>
      <c r="B21" t="s">
        <v>18</v>
      </c>
      <c r="C21">
        <v>8</v>
      </c>
    </row>
    <row r="22" spans="1:3">
      <c r="A22" s="28">
        <v>46121</v>
      </c>
      <c r="B22" t="s">
        <v>22</v>
      </c>
      <c r="C22">
        <v>38</v>
      </c>
    </row>
    <row r="23" spans="1:3">
      <c r="A23" s="28">
        <v>46121</v>
      </c>
      <c r="B23" t="s">
        <v>26</v>
      </c>
      <c r="C23">
        <v>54</v>
      </c>
    </row>
    <row r="24" spans="1:3">
      <c r="A24" s="28">
        <v>46121</v>
      </c>
      <c r="B24" t="s">
        <v>29</v>
      </c>
      <c r="C24">
        <v>51</v>
      </c>
    </row>
    <row r="25" spans="1:3">
      <c r="A25" s="28">
        <v>46121</v>
      </c>
      <c r="B25" t="s">
        <v>31</v>
      </c>
      <c r="C25">
        <v>20</v>
      </c>
    </row>
    <row r="26" spans="1:3">
      <c r="A26" s="28">
        <v>46121</v>
      </c>
      <c r="B26" t="s">
        <v>34</v>
      </c>
      <c r="C26">
        <v>0</v>
      </c>
    </row>
    <row r="27" spans="1:3">
      <c r="A27" s="28">
        <v>46123</v>
      </c>
      <c r="B27" t="s">
        <v>18</v>
      </c>
      <c r="C27">
        <v>8</v>
      </c>
    </row>
    <row r="28" spans="1:3">
      <c r="A28" s="28">
        <v>46123</v>
      </c>
      <c r="B28" t="s">
        <v>22</v>
      </c>
      <c r="C28">
        <v>60</v>
      </c>
    </row>
    <row r="29" spans="1:3">
      <c r="A29" s="28">
        <v>46123</v>
      </c>
      <c r="B29" t="s">
        <v>26</v>
      </c>
      <c r="C29">
        <v>24</v>
      </c>
    </row>
    <row r="30" spans="1:3">
      <c r="A30" s="28">
        <v>46123</v>
      </c>
      <c r="B30" t="s">
        <v>29</v>
      </c>
      <c r="C30">
        <v>64</v>
      </c>
    </row>
    <row r="31" spans="1:3">
      <c r="A31" s="28">
        <v>46123</v>
      </c>
      <c r="B31" t="s">
        <v>31</v>
      </c>
      <c r="C31">
        <v>14</v>
      </c>
    </row>
    <row r="32" spans="1:3">
      <c r="A32" s="28">
        <v>46123</v>
      </c>
      <c r="B32" t="s">
        <v>34</v>
      </c>
      <c r="C32">
        <v>3</v>
      </c>
    </row>
    <row r="33" spans="1:3">
      <c r="A33" s="28">
        <v>46128</v>
      </c>
      <c r="B33" s="41" t="s">
        <v>18</v>
      </c>
      <c r="C33" s="30">
        <v>4</v>
      </c>
    </row>
    <row r="34" spans="1:3">
      <c r="A34" s="28">
        <v>46128</v>
      </c>
      <c r="B34" s="41" t="s">
        <v>22</v>
      </c>
      <c r="C34" s="30">
        <v>65</v>
      </c>
    </row>
    <row r="35" spans="1:3">
      <c r="A35" s="28">
        <v>46128</v>
      </c>
      <c r="B35" s="41" t="s">
        <v>26</v>
      </c>
      <c r="C35" s="30">
        <v>198</v>
      </c>
    </row>
    <row r="36" spans="1:3">
      <c r="A36" s="28">
        <v>46128</v>
      </c>
      <c r="B36" s="41" t="s">
        <v>29</v>
      </c>
      <c r="C36" s="30">
        <v>150</v>
      </c>
    </row>
    <row r="37" spans="1:3">
      <c r="A37" s="28">
        <v>46128</v>
      </c>
      <c r="B37" s="41" t="s">
        <v>31</v>
      </c>
      <c r="C37" s="30">
        <v>35</v>
      </c>
    </row>
    <row r="38" spans="1:3">
      <c r="A38" s="28">
        <v>46128</v>
      </c>
      <c r="B38" s="41" t="s">
        <v>34</v>
      </c>
      <c r="C38" s="30">
        <v>5</v>
      </c>
    </row>
    <row r="39" spans="1:3">
      <c r="A39" s="28">
        <v>46132</v>
      </c>
      <c r="B39" s="41" t="s">
        <v>18</v>
      </c>
      <c r="C39" s="41">
        <v>5</v>
      </c>
    </row>
    <row r="40" spans="1:3">
      <c r="A40" s="28">
        <v>46132</v>
      </c>
      <c r="B40" s="41" t="s">
        <v>22</v>
      </c>
      <c r="C40" s="41">
        <v>28</v>
      </c>
    </row>
    <row r="41" spans="1:3">
      <c r="A41" s="28">
        <v>46132</v>
      </c>
      <c r="B41" s="41" t="s">
        <v>26</v>
      </c>
      <c r="C41" s="41">
        <v>109</v>
      </c>
    </row>
    <row r="42" spans="1:3">
      <c r="A42" s="28">
        <v>46132</v>
      </c>
      <c r="B42" s="41" t="s">
        <v>29</v>
      </c>
      <c r="C42" s="41">
        <v>163</v>
      </c>
    </row>
    <row r="43" spans="1:3">
      <c r="A43" s="28">
        <v>46132</v>
      </c>
      <c r="B43" s="41" t="s">
        <v>31</v>
      </c>
      <c r="C43" s="41">
        <v>20</v>
      </c>
    </row>
    <row r="44" spans="1:3">
      <c r="A44" s="28">
        <v>46132</v>
      </c>
      <c r="B44" s="41" t="s">
        <v>34</v>
      </c>
      <c r="C44" s="41">
        <v>6</v>
      </c>
    </row>
    <row r="45" spans="1:3">
      <c r="A45" s="28">
        <v>46136</v>
      </c>
      <c r="B45" s="41" t="s">
        <v>18</v>
      </c>
      <c r="C45" s="30">
        <v>6</v>
      </c>
    </row>
    <row r="46" spans="1:3">
      <c r="A46" s="28">
        <v>46136</v>
      </c>
      <c r="B46" s="41" t="s">
        <v>22</v>
      </c>
      <c r="C46" s="30">
        <v>26</v>
      </c>
    </row>
    <row r="47" spans="1:3">
      <c r="A47" s="28">
        <v>46136</v>
      </c>
      <c r="B47" s="41" t="s">
        <v>26</v>
      </c>
      <c r="C47" s="30">
        <v>126</v>
      </c>
    </row>
    <row r="48" spans="1:3">
      <c r="A48" s="28">
        <v>46136</v>
      </c>
      <c r="B48" s="41" t="s">
        <v>29</v>
      </c>
      <c r="C48" s="30">
        <v>185</v>
      </c>
    </row>
    <row r="49" spans="1:4">
      <c r="A49" s="28">
        <v>46136</v>
      </c>
      <c r="B49" s="41" t="s">
        <v>31</v>
      </c>
      <c r="C49" s="30">
        <v>21</v>
      </c>
    </row>
    <row r="50" spans="1:4">
      <c r="A50" s="28">
        <v>46136</v>
      </c>
      <c r="B50" s="41" t="s">
        <v>34</v>
      </c>
      <c r="C50" s="30">
        <v>8</v>
      </c>
    </row>
    <row r="51" spans="1:4">
      <c r="A51" s="28">
        <v>46139</v>
      </c>
      <c r="B51" s="41" t="s">
        <v>18</v>
      </c>
      <c r="C51" s="30">
        <v>1</v>
      </c>
    </row>
    <row r="52" spans="1:4">
      <c r="A52" s="28">
        <v>46139</v>
      </c>
      <c r="B52" s="41" t="s">
        <v>22</v>
      </c>
      <c r="C52" s="30">
        <v>19</v>
      </c>
    </row>
    <row r="53" spans="1:4">
      <c r="A53" s="28">
        <v>46139</v>
      </c>
      <c r="B53" s="41" t="s">
        <v>26</v>
      </c>
      <c r="C53" s="30">
        <v>57</v>
      </c>
    </row>
    <row r="54" spans="1:4">
      <c r="A54" s="28">
        <v>46139</v>
      </c>
      <c r="B54" s="41" t="s">
        <v>29</v>
      </c>
      <c r="C54" s="30">
        <v>74</v>
      </c>
    </row>
    <row r="55" spans="1:4">
      <c r="A55" s="28">
        <v>46139</v>
      </c>
      <c r="B55" s="41" t="s">
        <v>31</v>
      </c>
      <c r="C55" s="30">
        <v>8</v>
      </c>
    </row>
    <row r="56" spans="1:4">
      <c r="A56" s="28">
        <v>46139</v>
      </c>
      <c r="B56" s="41" t="s">
        <v>34</v>
      </c>
      <c r="C56" s="30">
        <v>11</v>
      </c>
    </row>
    <row r="57" spans="1:4">
      <c r="A57" s="28">
        <v>46140</v>
      </c>
      <c r="B57" s="41" t="s">
        <v>18</v>
      </c>
      <c r="C57" s="30">
        <v>0</v>
      </c>
    </row>
    <row r="58" spans="1:4">
      <c r="A58" s="28">
        <v>46140</v>
      </c>
      <c r="B58" s="41" t="s">
        <v>22</v>
      </c>
      <c r="C58" s="30">
        <v>14</v>
      </c>
    </row>
    <row r="59" spans="1:4">
      <c r="A59" s="28">
        <v>46140</v>
      </c>
      <c r="B59" s="41" t="s">
        <v>26</v>
      </c>
      <c r="C59" s="30">
        <v>46</v>
      </c>
    </row>
    <row r="60" spans="1:4">
      <c r="A60" s="28">
        <v>46140</v>
      </c>
      <c r="B60" s="41" t="s">
        <v>29</v>
      </c>
      <c r="C60" s="30">
        <v>31</v>
      </c>
    </row>
    <row r="61" spans="1:4">
      <c r="A61" s="28">
        <v>46140</v>
      </c>
      <c r="B61" s="41" t="s">
        <v>31</v>
      </c>
      <c r="C61" s="30">
        <v>5</v>
      </c>
    </row>
    <row r="62" spans="1:4">
      <c r="A62" s="28">
        <v>46140</v>
      </c>
      <c r="B62" s="41" t="s">
        <v>34</v>
      </c>
      <c r="C62" s="30">
        <v>0</v>
      </c>
    </row>
    <row r="63" spans="1:4">
      <c r="A63" s="28">
        <v>46141</v>
      </c>
      <c r="B63" s="44" t="s">
        <v>18</v>
      </c>
      <c r="C63" s="44">
        <v>0</v>
      </c>
      <c r="D63" s="44"/>
    </row>
    <row r="64" spans="1:4">
      <c r="A64" s="28">
        <v>46141</v>
      </c>
      <c r="B64" s="44" t="s">
        <v>22</v>
      </c>
      <c r="C64" s="44">
        <v>14</v>
      </c>
      <c r="D64" s="44"/>
    </row>
    <row r="65" spans="1:4">
      <c r="A65" s="28">
        <v>46141</v>
      </c>
      <c r="B65" s="44" t="s">
        <v>26</v>
      </c>
      <c r="C65" s="44">
        <v>10</v>
      </c>
      <c r="D65" s="44"/>
    </row>
    <row r="66" spans="1:4">
      <c r="A66" s="28">
        <v>46141</v>
      </c>
      <c r="B66" s="44" t="s">
        <v>29</v>
      </c>
      <c r="C66" s="44">
        <v>12</v>
      </c>
      <c r="D66" s="44"/>
    </row>
    <row r="67" spans="1:4">
      <c r="A67" s="28">
        <v>46141</v>
      </c>
      <c r="B67" s="44" t="s">
        <v>31</v>
      </c>
      <c r="C67" s="44">
        <v>4</v>
      </c>
      <c r="D67" s="44"/>
    </row>
    <row r="68" spans="1:4">
      <c r="A68" s="28">
        <v>46141</v>
      </c>
      <c r="B68" s="44" t="s">
        <v>34</v>
      </c>
      <c r="C68" s="44">
        <v>-16.5</v>
      </c>
      <c r="D68" s="44"/>
    </row>
    <row r="69" spans="1:4">
      <c r="A69" s="28">
        <v>46144</v>
      </c>
      <c r="B69" s="44" t="s">
        <v>14</v>
      </c>
      <c r="C69" s="44">
        <v>2</v>
      </c>
      <c r="D69" s="44"/>
    </row>
    <row r="70" spans="1:4">
      <c r="A70" s="28">
        <v>46144</v>
      </c>
      <c r="B70" s="44" t="s">
        <v>18</v>
      </c>
      <c r="C70" s="44">
        <v>19</v>
      </c>
      <c r="D70" s="44"/>
    </row>
    <row r="71" spans="1:4">
      <c r="A71" s="28">
        <v>46144</v>
      </c>
      <c r="B71" s="44" t="s">
        <v>22</v>
      </c>
      <c r="C71" s="44">
        <v>46</v>
      </c>
      <c r="D71" s="44"/>
    </row>
    <row r="72" spans="1:4">
      <c r="A72" s="28">
        <v>46144</v>
      </c>
      <c r="B72" s="44" t="s">
        <v>26</v>
      </c>
      <c r="C72" s="44">
        <v>115</v>
      </c>
      <c r="D72" s="44"/>
    </row>
    <row r="73" spans="1:4">
      <c r="A73" s="28">
        <v>46144</v>
      </c>
      <c r="B73" s="44" t="s">
        <v>29</v>
      </c>
      <c r="C73" s="44">
        <v>135</v>
      </c>
      <c r="D73" s="44"/>
    </row>
    <row r="74" spans="1:4">
      <c r="A74" s="28">
        <v>46144</v>
      </c>
      <c r="B74" s="44" t="s">
        <v>31</v>
      </c>
      <c r="C74" s="44">
        <v>36</v>
      </c>
      <c r="D74" s="44"/>
    </row>
    <row r="75" spans="1:4">
      <c r="A75" s="28">
        <v>46144</v>
      </c>
      <c r="B75" s="44" t="s">
        <v>34</v>
      </c>
      <c r="C75" s="44">
        <v>0</v>
      </c>
      <c r="D75" s="44"/>
    </row>
    <row r="76" spans="1:4">
      <c r="A76" s="44"/>
      <c r="B76" s="44"/>
      <c r="C76" s="44"/>
      <c r="D76" s="44"/>
    </row>
    <row r="77" spans="1:4">
      <c r="A77" s="44"/>
      <c r="B77" s="44"/>
      <c r="C77" s="44"/>
      <c r="D77" s="44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D8"/>
  <sheetViews>
    <sheetView workbookViewId="0">
      <selection activeCell="D12" sqref="D12"/>
    </sheetView>
  </sheetViews>
  <sheetFormatPr defaultRowHeight="14.4"/>
  <cols>
    <col min="1" max="1" width="14" style="30" customWidth="1"/>
    <col min="2" max="2" width="16" style="30" customWidth="1"/>
    <col min="3" max="4" width="18" style="30" customWidth="1"/>
  </cols>
  <sheetData>
    <row r="1" spans="1:4" ht="15.6" customHeight="1">
      <c r="A1" s="49" t="s">
        <v>132</v>
      </c>
      <c r="B1" s="46"/>
      <c r="C1" s="46"/>
      <c r="D1" s="46"/>
    </row>
    <row r="2" spans="1:4">
      <c r="A2" s="4" t="s">
        <v>96</v>
      </c>
      <c r="B2" s="4" t="s">
        <v>98</v>
      </c>
      <c r="C2" s="4" t="s">
        <v>133</v>
      </c>
      <c r="D2" s="4" t="s">
        <v>127</v>
      </c>
    </row>
    <row r="3" spans="1:4">
      <c r="A3" s="28">
        <v>46142</v>
      </c>
      <c r="B3" t="s">
        <v>12</v>
      </c>
      <c r="C3" t="s">
        <v>134</v>
      </c>
      <c r="D3">
        <v>300</v>
      </c>
    </row>
    <row r="4" spans="1:4">
      <c r="A4" s="28">
        <v>46142</v>
      </c>
      <c r="B4" t="s">
        <v>16</v>
      </c>
      <c r="C4" t="s">
        <v>134</v>
      </c>
      <c r="D4">
        <v>150</v>
      </c>
    </row>
    <row r="5" spans="1:4">
      <c r="A5" s="28">
        <v>46142</v>
      </c>
      <c r="B5" t="s">
        <v>24</v>
      </c>
      <c r="C5" t="s">
        <v>134</v>
      </c>
      <c r="D5">
        <v>190</v>
      </c>
    </row>
    <row r="6" spans="1:4">
      <c r="A6" s="28">
        <v>46142</v>
      </c>
      <c r="B6" t="s">
        <v>12</v>
      </c>
      <c r="C6" t="s">
        <v>32</v>
      </c>
      <c r="D6">
        <v>1200</v>
      </c>
    </row>
    <row r="7" spans="1:4">
      <c r="A7" s="28">
        <v>46142</v>
      </c>
      <c r="B7" t="s">
        <v>16</v>
      </c>
      <c r="C7" t="s">
        <v>32</v>
      </c>
      <c r="D7">
        <v>800</v>
      </c>
    </row>
    <row r="8" spans="1:4">
      <c r="A8" s="28">
        <v>46142</v>
      </c>
      <c r="B8" t="s">
        <v>24</v>
      </c>
      <c r="C8" t="s">
        <v>32</v>
      </c>
      <c r="D8">
        <v>1100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G21"/>
  <sheetViews>
    <sheetView workbookViewId="0">
      <selection activeCell="H23" sqref="H23"/>
    </sheetView>
  </sheetViews>
  <sheetFormatPr defaultRowHeight="14.4"/>
  <cols>
    <col min="1" max="1" width="20" style="30" customWidth="1"/>
    <col min="2" max="2" width="16" style="30" customWidth="1"/>
    <col min="3" max="3" width="14" style="30" customWidth="1"/>
    <col min="4" max="4" width="20" style="30" customWidth="1"/>
    <col min="5" max="5" width="14" style="30" customWidth="1"/>
    <col min="6" max="6" width="16" style="30" customWidth="1"/>
    <col min="7" max="7" width="30" style="30" customWidth="1"/>
  </cols>
  <sheetData>
    <row r="1" spans="1:7" ht="15.6" customHeight="1">
      <c r="A1" s="48" t="s">
        <v>135</v>
      </c>
      <c r="B1" s="46"/>
      <c r="C1" s="46"/>
      <c r="D1" s="46"/>
      <c r="E1" s="46"/>
      <c r="F1" s="46"/>
      <c r="G1" s="46"/>
    </row>
    <row r="2" spans="1:7">
      <c r="A2" s="51" t="s">
        <v>136</v>
      </c>
      <c r="B2" s="46"/>
      <c r="C2" s="46"/>
      <c r="D2" s="46"/>
      <c r="E2" s="46"/>
      <c r="F2" s="46"/>
      <c r="G2" s="46"/>
    </row>
    <row r="3" spans="1:7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 t="s">
        <v>43</v>
      </c>
    </row>
    <row r="4" spans="1:7">
      <c r="A4" s="3" t="s">
        <v>341</v>
      </c>
      <c r="B4" s="3" t="s">
        <v>143</v>
      </c>
      <c r="C4" s="3" t="s">
        <v>12</v>
      </c>
      <c r="D4" s="5">
        <v>1200</v>
      </c>
      <c r="E4" s="61">
        <v>46142</v>
      </c>
      <c r="F4" s="3" t="s">
        <v>116</v>
      </c>
      <c r="G4" s="3"/>
    </row>
    <row r="5" spans="1:7">
      <c r="A5" s="3" t="s">
        <v>342</v>
      </c>
      <c r="B5" s="3" t="s">
        <v>143</v>
      </c>
      <c r="C5" s="3" t="s">
        <v>16</v>
      </c>
      <c r="D5" s="5">
        <v>800</v>
      </c>
      <c r="E5" s="61">
        <v>46143</v>
      </c>
      <c r="F5" s="3" t="s">
        <v>116</v>
      </c>
      <c r="G5" s="3"/>
    </row>
    <row r="6" spans="1:7">
      <c r="A6" s="3" t="s">
        <v>343</v>
      </c>
      <c r="B6" s="3" t="s">
        <v>143</v>
      </c>
      <c r="C6" s="3" t="s">
        <v>24</v>
      </c>
      <c r="D6" s="5">
        <v>1100</v>
      </c>
      <c r="E6" s="61">
        <v>46144</v>
      </c>
      <c r="F6" s="3" t="s">
        <v>116</v>
      </c>
      <c r="G6" s="3"/>
    </row>
    <row r="7" spans="1:7" s="44" customFormat="1">
      <c r="A7" s="3" t="s">
        <v>345</v>
      </c>
      <c r="B7" s="3" t="s">
        <v>351</v>
      </c>
      <c r="C7" s="3" t="s">
        <v>352</v>
      </c>
      <c r="D7" s="5">
        <v>1500</v>
      </c>
      <c r="E7" s="61">
        <v>46145</v>
      </c>
      <c r="F7" s="3" t="s">
        <v>116</v>
      </c>
      <c r="G7" s="3"/>
    </row>
    <row r="8" spans="1:7" s="44" customFormat="1">
      <c r="A8" s="3" t="s">
        <v>346</v>
      </c>
      <c r="B8" s="3" t="s">
        <v>144</v>
      </c>
      <c r="C8" s="3" t="s">
        <v>352</v>
      </c>
      <c r="D8" s="5">
        <v>1000</v>
      </c>
      <c r="E8" s="61">
        <v>46146</v>
      </c>
      <c r="F8" s="3" t="s">
        <v>116</v>
      </c>
      <c r="G8" s="3"/>
    </row>
    <row r="9" spans="1:7" s="44" customFormat="1">
      <c r="A9" s="3" t="s">
        <v>344</v>
      </c>
      <c r="B9" s="3" t="s">
        <v>144</v>
      </c>
      <c r="C9" s="3" t="s">
        <v>353</v>
      </c>
      <c r="D9" s="5">
        <v>1600</v>
      </c>
      <c r="E9" s="61">
        <v>46147</v>
      </c>
      <c r="F9" s="3" t="s">
        <v>116</v>
      </c>
      <c r="G9" s="3"/>
    </row>
    <row r="10" spans="1:7" s="44" customFormat="1">
      <c r="A10" s="3" t="s">
        <v>347</v>
      </c>
      <c r="B10" s="3" t="s">
        <v>144</v>
      </c>
      <c r="C10" s="3" t="s">
        <v>353</v>
      </c>
      <c r="D10" s="5">
        <v>1250</v>
      </c>
      <c r="E10" s="61">
        <v>46148</v>
      </c>
      <c r="F10" s="3" t="s">
        <v>116</v>
      </c>
      <c r="G10" s="3"/>
    </row>
    <row r="11" spans="1:7" s="44" customFormat="1">
      <c r="A11" s="3" t="s">
        <v>348</v>
      </c>
      <c r="B11" s="3" t="s">
        <v>144</v>
      </c>
      <c r="C11" s="3" t="s">
        <v>353</v>
      </c>
      <c r="D11" s="5">
        <v>1100</v>
      </c>
      <c r="E11" s="61">
        <v>46149</v>
      </c>
      <c r="F11" s="3" t="s">
        <v>116</v>
      </c>
      <c r="G11" s="3"/>
    </row>
    <row r="12" spans="1:7" s="44" customFormat="1">
      <c r="A12" s="3" t="s">
        <v>349</v>
      </c>
      <c r="B12" s="3" t="s">
        <v>144</v>
      </c>
      <c r="C12" s="3" t="s">
        <v>353</v>
      </c>
      <c r="D12" s="5">
        <v>1100</v>
      </c>
      <c r="E12" s="61">
        <v>46150</v>
      </c>
      <c r="F12" s="3" t="s">
        <v>116</v>
      </c>
      <c r="G12" s="3"/>
    </row>
    <row r="13" spans="1:7" s="44" customFormat="1">
      <c r="A13" s="3" t="s">
        <v>350</v>
      </c>
      <c r="B13" s="3" t="s">
        <v>144</v>
      </c>
      <c r="C13" s="3" t="s">
        <v>353</v>
      </c>
      <c r="D13" s="5">
        <v>1100</v>
      </c>
      <c r="E13" s="61">
        <v>46151</v>
      </c>
      <c r="F13" s="3" t="s">
        <v>116</v>
      </c>
      <c r="G13" s="3"/>
    </row>
    <row r="14" spans="1:7">
      <c r="A14" s="3"/>
      <c r="B14" s="3" t="s">
        <v>144</v>
      </c>
      <c r="C14" s="3" t="s">
        <v>353</v>
      </c>
      <c r="D14" s="5">
        <v>0</v>
      </c>
      <c r="E14" s="3"/>
      <c r="F14" s="3" t="s">
        <v>116</v>
      </c>
      <c r="G14" s="3" t="s">
        <v>145</v>
      </c>
    </row>
    <row r="17" spans="1:7">
      <c r="A17" s="52" t="s">
        <v>146</v>
      </c>
      <c r="B17" s="46"/>
      <c r="C17" s="46"/>
      <c r="D17" s="46"/>
      <c r="E17" s="46"/>
      <c r="F17" s="46"/>
      <c r="G17" s="46"/>
    </row>
    <row r="18" spans="1:7">
      <c r="A18" s="1" t="s">
        <v>147</v>
      </c>
      <c r="D18" s="9">
        <f>SUM(D4:D14)</f>
        <v>11750</v>
      </c>
    </row>
    <row r="19" spans="1:7">
      <c r="A19" s="1" t="s">
        <v>148</v>
      </c>
      <c r="D19" s="10">
        <f>D18*12</f>
        <v>141000</v>
      </c>
    </row>
    <row r="21" spans="1:7">
      <c r="A21" s="1" t="s">
        <v>149</v>
      </c>
      <c r="D21" s="11">
        <f>SUMIFS('Shop Expenses'!$D$3:$D$2002,'Shop Expenses'!$C$3:$C$2002,"Salary",'Shop Expenses'!$A$3:$A$2002,"&gt;="&amp;'Control Panel'!$B$3,'Shop Expenses'!$A$3:$A$2002,"&lt;="&amp;'Control Panel'!$C$3)</f>
        <v>3100</v>
      </c>
    </row>
  </sheetData>
  <mergeCells count="3">
    <mergeCell ref="A2:G2"/>
    <mergeCell ref="A1:G1"/>
    <mergeCell ref="A17:G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G405"/>
  <sheetViews>
    <sheetView workbookViewId="0">
      <pane ySplit="4" topLeftCell="A5" activePane="bottomLeft" state="frozen"/>
      <selection pane="bottomLeft" activeCell="A5" sqref="A5"/>
    </sheetView>
  </sheetViews>
  <sheetFormatPr defaultRowHeight="14.4"/>
  <cols>
    <col min="1" max="1" width="14" style="30" customWidth="1"/>
    <col min="2" max="2" width="28" style="30" customWidth="1"/>
    <col min="3" max="3" width="18" style="30" customWidth="1"/>
    <col min="4" max="6" width="22" style="30" customWidth="1"/>
    <col min="7" max="7" width="30" style="30" customWidth="1"/>
  </cols>
  <sheetData>
    <row r="1" spans="1:7" ht="15.6" customHeight="1">
      <c r="A1" s="48" t="s">
        <v>150</v>
      </c>
      <c r="B1" s="46"/>
      <c r="C1" s="46"/>
      <c r="D1" s="46"/>
      <c r="E1" s="46"/>
      <c r="F1" s="46"/>
      <c r="G1" s="46"/>
    </row>
    <row r="2" spans="1:7">
      <c r="A2" s="47" t="s">
        <v>151</v>
      </c>
      <c r="B2" s="46"/>
      <c r="C2" s="46"/>
      <c r="D2" s="46"/>
      <c r="E2" s="46"/>
      <c r="F2" s="46"/>
      <c r="G2" s="46"/>
    </row>
    <row r="3" spans="1:7">
      <c r="A3" s="1" t="s">
        <v>5</v>
      </c>
      <c r="B3">
        <f>'Control Panel'!B7</f>
        <v>1000</v>
      </c>
    </row>
    <row r="4" spans="1:7" ht="27.6" customHeight="1">
      <c r="A4" s="4" t="s">
        <v>96</v>
      </c>
      <c r="B4" s="4" t="s">
        <v>152</v>
      </c>
      <c r="C4" s="4" t="s">
        <v>126</v>
      </c>
      <c r="D4" s="4" t="s">
        <v>153</v>
      </c>
      <c r="E4" s="4" t="s">
        <v>154</v>
      </c>
      <c r="F4" s="4" t="s">
        <v>155</v>
      </c>
      <c r="G4" s="4" t="s">
        <v>43</v>
      </c>
    </row>
    <row r="5" spans="1:7">
      <c r="A5" s="25">
        <v>46113</v>
      </c>
      <c r="C5" t="str">
        <f t="shared" ref="C5:C68" si="0">IF(A5="","","Daily Sales")</f>
        <v>Daily Sales</v>
      </c>
      <c r="D5" s="10">
        <f>IF(A5="","",SUMIFS('Sales Log'!$G$3:$G$2002,'Sales Log'!$A$3:$A$2002,A5))</f>
        <v>1895</v>
      </c>
      <c r="E5" s="10">
        <f>IF(A5="","",SUMIFS('Shop Expenses'!$D$3:$D$2002,'Shop Expenses'!$A$3:$A$2002,A5)+SUMIFS('Farm Costs'!$D$3:$D$2002,'Farm Costs'!$A$3:$A$2002,A5))</f>
        <v>5830</v>
      </c>
      <c r="F5" s="10">
        <f>IF(A5="","",'Control Panel'!B7+D5-E5)</f>
        <v>-2935</v>
      </c>
    </row>
    <row r="6" spans="1:7">
      <c r="A6" s="25">
        <v>46114</v>
      </c>
      <c r="C6" t="str">
        <f t="shared" si="0"/>
        <v>Daily Sales</v>
      </c>
      <c r="D6" s="10">
        <f>IF(A6="","",SUMIFS('Sales Log'!$G$3:$G$2002,'Sales Log'!$A$3:$A$2002,A6))</f>
        <v>2085</v>
      </c>
      <c r="E6" s="10">
        <f>IF(A6="","",SUMIFS('Shop Expenses'!$D$3:$D$2002,'Shop Expenses'!$A$3:$A$2002,A6)+SUMIFS('Farm Costs'!$D$3:$D$2002,'Farm Costs'!$A$3:$A$2002,A6))</f>
        <v>0</v>
      </c>
      <c r="F6" s="10">
        <f t="shared" ref="F6:F69" si="1">IF(A6="","",F5+D6-E6)</f>
        <v>-850</v>
      </c>
    </row>
    <row r="7" spans="1:7">
      <c r="A7" s="25">
        <v>46115</v>
      </c>
      <c r="C7" t="str">
        <f t="shared" si="0"/>
        <v>Daily Sales</v>
      </c>
      <c r="D7" s="10">
        <f>IF(A7="","",SUMIFS('Sales Log'!$G$3:$G$2002,'Sales Log'!$A$3:$A$2002,A7))</f>
        <v>20515</v>
      </c>
      <c r="E7" s="10">
        <f>IF(A7="","",SUMIFS('Shop Expenses'!$D$3:$D$2002,'Shop Expenses'!$A$3:$A$2002,A7)+SUMIFS('Farm Costs'!$D$3:$D$2002,'Farm Costs'!$A$3:$A$2002,A7))</f>
        <v>16610</v>
      </c>
      <c r="F7" s="10">
        <f t="shared" si="1"/>
        <v>3055</v>
      </c>
    </row>
    <row r="8" spans="1:7">
      <c r="A8" s="25">
        <v>46116</v>
      </c>
      <c r="C8" t="str">
        <f t="shared" si="0"/>
        <v>Daily Sales</v>
      </c>
      <c r="D8" s="10">
        <f>IF(A8="","",SUMIFS('Sales Log'!$G$3:$G$2002,'Sales Log'!$A$3:$A$2002,A8))</f>
        <v>7760</v>
      </c>
      <c r="E8" s="10">
        <f>IF(A8="","",SUMIFS('Shop Expenses'!$D$3:$D$2002,'Shop Expenses'!$A$3:$A$2002,A8)+SUMIFS('Farm Costs'!$D$3:$D$2002,'Farm Costs'!$A$3:$A$2002,A8))</f>
        <v>0</v>
      </c>
      <c r="F8" s="10">
        <f t="shared" si="1"/>
        <v>10815</v>
      </c>
    </row>
    <row r="9" spans="1:7">
      <c r="A9" s="25">
        <v>46117</v>
      </c>
      <c r="C9" t="str">
        <f t="shared" si="0"/>
        <v>Daily Sales</v>
      </c>
      <c r="D9" s="10">
        <f>IF(A9="","",SUMIFS('Sales Log'!$G$3:$G$2002,'Sales Log'!$A$3:$A$2002,A9))</f>
        <v>120</v>
      </c>
      <c r="E9" s="10">
        <f>IF(A9="","",SUMIFS('Shop Expenses'!$D$3:$D$2002,'Shop Expenses'!$A$3:$A$2002,A9)+SUMIFS('Farm Costs'!$D$3:$D$2002,'Farm Costs'!$A$3:$A$2002,A9))</f>
        <v>0</v>
      </c>
      <c r="F9" s="10">
        <f t="shared" si="1"/>
        <v>10935</v>
      </c>
    </row>
    <row r="10" spans="1:7">
      <c r="A10" s="25">
        <v>46118</v>
      </c>
      <c r="C10" t="str">
        <f t="shared" si="0"/>
        <v>Daily Sales</v>
      </c>
      <c r="D10" s="10">
        <f>IF(A10="","",SUMIFS('Sales Log'!$G$3:$G$2002,'Sales Log'!$A$3:$A$2002,A10))</f>
        <v>26829</v>
      </c>
      <c r="E10" s="10">
        <f>IF(A10="","",SUMIFS('Shop Expenses'!$D$3:$D$2002,'Shop Expenses'!$A$3:$A$2002,A10)+SUMIFS('Farm Costs'!$D$3:$D$2002,'Farm Costs'!$A$3:$A$2002,A10))</f>
        <v>830</v>
      </c>
      <c r="F10" s="10">
        <f t="shared" si="1"/>
        <v>36934</v>
      </c>
    </row>
    <row r="11" spans="1:7">
      <c r="A11" s="25">
        <v>46119</v>
      </c>
      <c r="C11" t="str">
        <f t="shared" si="0"/>
        <v>Daily Sales</v>
      </c>
      <c r="D11" s="10">
        <f>IF(A11="","",SUMIFS('Sales Log'!$G$3:$G$2002,'Sales Log'!$A$3:$A$2002,A11))</f>
        <v>4945</v>
      </c>
      <c r="E11" s="10">
        <f>IF(A11="","",SUMIFS('Shop Expenses'!$D$3:$D$2002,'Shop Expenses'!$A$3:$A$2002,A11)+SUMIFS('Farm Costs'!$D$3:$D$2002,'Farm Costs'!$A$3:$A$2002,A11))</f>
        <v>0</v>
      </c>
      <c r="F11" s="10">
        <f t="shared" si="1"/>
        <v>41879</v>
      </c>
    </row>
    <row r="12" spans="1:7">
      <c r="A12" s="25">
        <v>46120</v>
      </c>
      <c r="C12" t="str">
        <f t="shared" si="0"/>
        <v>Daily Sales</v>
      </c>
      <c r="D12" s="10">
        <f>IF(A12="","",SUMIFS('Sales Log'!$G$3:$G$2002,'Sales Log'!$A$3:$A$2002,A12))</f>
        <v>31280</v>
      </c>
      <c r="E12" s="10">
        <f>IF(A12="","",SUMIFS('Shop Expenses'!$D$3:$D$2002,'Shop Expenses'!$A$3:$A$2002,A12)+SUMIFS('Farm Costs'!$D$3:$D$2002,'Farm Costs'!$A$3:$A$2002,A12))</f>
        <v>0</v>
      </c>
      <c r="F12" s="10">
        <f t="shared" si="1"/>
        <v>73159</v>
      </c>
    </row>
    <row r="13" spans="1:7">
      <c r="A13" s="25">
        <v>46121</v>
      </c>
      <c r="C13" t="str">
        <f t="shared" si="0"/>
        <v>Daily Sales</v>
      </c>
      <c r="D13" s="10">
        <f>IF(A13="","",SUMIFS('Sales Log'!$G$3:$G$2002,'Sales Log'!$A$3:$A$2002,A13))</f>
        <v>2289</v>
      </c>
      <c r="E13" s="10">
        <f>IF(A13="","",SUMIFS('Shop Expenses'!$D$3:$D$2002,'Shop Expenses'!$A$3:$A$2002,A13)+SUMIFS('Farm Costs'!$D$3:$D$2002,'Farm Costs'!$A$3:$A$2002,A13))</f>
        <v>0</v>
      </c>
      <c r="F13" s="10">
        <f t="shared" si="1"/>
        <v>75448</v>
      </c>
    </row>
    <row r="14" spans="1:7">
      <c r="A14" s="25">
        <v>46122</v>
      </c>
      <c r="C14" t="str">
        <f t="shared" si="0"/>
        <v>Daily Sales</v>
      </c>
      <c r="D14" s="10">
        <f>IF(A14="","",SUMIFS('Sales Log'!$G$3:$G$2002,'Sales Log'!$A$3:$A$2002,A14))</f>
        <v>3984</v>
      </c>
      <c r="E14" s="10">
        <f>IF(A14="","",SUMIFS('Shop Expenses'!$D$3:$D$2002,'Shop Expenses'!$A$3:$A$2002,A14)+SUMIFS('Farm Costs'!$D$3:$D$2002,'Farm Costs'!$A$3:$A$2002,A14))</f>
        <v>150</v>
      </c>
      <c r="F14" s="10">
        <f t="shared" si="1"/>
        <v>79282</v>
      </c>
    </row>
    <row r="15" spans="1:7">
      <c r="A15" s="25">
        <v>46123</v>
      </c>
      <c r="C15" t="str">
        <f t="shared" si="0"/>
        <v>Daily Sales</v>
      </c>
      <c r="D15" s="10">
        <f>IF(A15="","",SUMIFS('Sales Log'!$G$3:$G$2002,'Sales Log'!$A$3:$A$2002,A15))</f>
        <v>3536</v>
      </c>
      <c r="E15" s="10">
        <f>IF(A15="","",SUMIFS('Shop Expenses'!$D$3:$D$2002,'Shop Expenses'!$A$3:$A$2002,A15)+SUMIFS('Farm Costs'!$D$3:$D$2002,'Farm Costs'!$A$3:$A$2002,A15))</f>
        <v>3795</v>
      </c>
      <c r="F15" s="10">
        <f t="shared" si="1"/>
        <v>79023</v>
      </c>
    </row>
    <row r="16" spans="1:7">
      <c r="A16" s="25">
        <v>46124</v>
      </c>
      <c r="C16" t="str">
        <f t="shared" si="0"/>
        <v>Daily Sales</v>
      </c>
      <c r="D16" s="10">
        <f>IF(A16="","",SUMIFS('Sales Log'!$G$3:$G$2002,'Sales Log'!$A$3:$A$2002,A16))</f>
        <v>11375.5</v>
      </c>
      <c r="E16" s="10">
        <f>IF(A16="","",SUMIFS('Shop Expenses'!$D$3:$D$2002,'Shop Expenses'!$A$3:$A$2002,A16)+SUMIFS('Farm Costs'!$D$3:$D$2002,'Farm Costs'!$A$3:$A$2002,A16))</f>
        <v>0</v>
      </c>
      <c r="F16" s="10">
        <f t="shared" si="1"/>
        <v>90398.5</v>
      </c>
    </row>
    <row r="17" spans="1:6">
      <c r="A17" s="25">
        <v>46125</v>
      </c>
      <c r="C17" t="str">
        <f t="shared" si="0"/>
        <v>Daily Sales</v>
      </c>
      <c r="D17" s="10">
        <f>IF(A17="","",SUMIFS('Sales Log'!$G$3:$G$2002,'Sales Log'!$A$3:$A$2002,A17))</f>
        <v>5328</v>
      </c>
      <c r="E17" s="10">
        <f>IF(A17="","",SUMIFS('Shop Expenses'!$D$3:$D$2002,'Shop Expenses'!$A$3:$A$2002,A17)+SUMIFS('Farm Costs'!$D$3:$D$2002,'Farm Costs'!$A$3:$A$2002,A17))</f>
        <v>0</v>
      </c>
      <c r="F17" s="10">
        <f t="shared" si="1"/>
        <v>95726.5</v>
      </c>
    </row>
    <row r="18" spans="1:6">
      <c r="A18" s="25">
        <v>46126</v>
      </c>
      <c r="C18" t="str">
        <f t="shared" si="0"/>
        <v>Daily Sales</v>
      </c>
      <c r="D18" s="10">
        <f>IF(A18="","",SUMIFS('Sales Log'!$G$3:$G$2002,'Sales Log'!$A$3:$A$2002,A18))</f>
        <v>4817.5</v>
      </c>
      <c r="E18" s="10">
        <f>IF(A18="","",SUMIFS('Shop Expenses'!$D$3:$D$2002,'Shop Expenses'!$A$3:$A$2002,A18)+SUMIFS('Farm Costs'!$D$3:$D$2002,'Farm Costs'!$A$3:$A$2002,A18))</f>
        <v>0</v>
      </c>
      <c r="F18" s="10">
        <f t="shared" si="1"/>
        <v>100544</v>
      </c>
    </row>
    <row r="19" spans="1:6">
      <c r="A19" s="25">
        <v>46127</v>
      </c>
      <c r="C19" t="str">
        <f t="shared" si="0"/>
        <v>Daily Sales</v>
      </c>
      <c r="D19" s="10">
        <f>IF(A19="","",SUMIFS('Sales Log'!$G$3:$G$2002,'Sales Log'!$A$3:$A$2002,A19))</f>
        <v>7732</v>
      </c>
      <c r="E19" s="10">
        <f>IF(A19="","",SUMIFS('Shop Expenses'!$D$3:$D$2002,'Shop Expenses'!$A$3:$A$2002,A19)+SUMIFS('Farm Costs'!$D$3:$D$2002,'Farm Costs'!$A$3:$A$2002,A19))</f>
        <v>0</v>
      </c>
      <c r="F19" s="10">
        <f t="shared" si="1"/>
        <v>108276</v>
      </c>
    </row>
    <row r="20" spans="1:6">
      <c r="A20" s="25">
        <v>46128</v>
      </c>
      <c r="C20" t="str">
        <f t="shared" si="0"/>
        <v>Daily Sales</v>
      </c>
      <c r="D20" s="10">
        <f>IF(A20="","",SUMIFS('Sales Log'!$G$3:$G$2002,'Sales Log'!$A$3:$A$2002,A20))</f>
        <v>17305</v>
      </c>
      <c r="E20" s="10">
        <f>IF(A20="","",SUMIFS('Shop Expenses'!$D$3:$D$2002,'Shop Expenses'!$A$3:$A$2002,A20)+SUMIFS('Farm Costs'!$D$3:$D$2002,'Farm Costs'!$A$3:$A$2002,A20))</f>
        <v>0</v>
      </c>
      <c r="F20" s="10">
        <f t="shared" si="1"/>
        <v>125581</v>
      </c>
    </row>
    <row r="21" spans="1:6">
      <c r="A21" s="25">
        <v>46129</v>
      </c>
      <c r="C21" t="str">
        <f t="shared" si="0"/>
        <v>Daily Sales</v>
      </c>
      <c r="D21" s="10">
        <f>IF(A21="","",SUMIFS('Sales Log'!$G$3:$G$2002,'Sales Log'!$A$3:$A$2002,A21))</f>
        <v>4740</v>
      </c>
      <c r="E21" s="10">
        <f>IF(A21="","",SUMIFS('Shop Expenses'!$D$3:$D$2002,'Shop Expenses'!$A$3:$A$2002,A21)+SUMIFS('Farm Costs'!$D$3:$D$2002,'Farm Costs'!$A$3:$A$2002,A21))</f>
        <v>0</v>
      </c>
      <c r="F21" s="10">
        <f t="shared" si="1"/>
        <v>130321</v>
      </c>
    </row>
    <row r="22" spans="1:6">
      <c r="A22" s="25">
        <v>46130</v>
      </c>
      <c r="C22" t="str">
        <f t="shared" si="0"/>
        <v>Daily Sales</v>
      </c>
      <c r="D22" s="10">
        <f>IF(A22="","",SUMIFS('Sales Log'!$G$3:$G$2002,'Sales Log'!$A$3:$A$2002,A22))</f>
        <v>7170</v>
      </c>
      <c r="E22" s="10">
        <f>IF(A22="","",SUMIFS('Shop Expenses'!$D$3:$D$2002,'Shop Expenses'!$A$3:$A$2002,A22)+SUMIFS('Farm Costs'!$D$3:$D$2002,'Farm Costs'!$A$3:$A$2002,A22))</f>
        <v>0</v>
      </c>
      <c r="F22" s="10">
        <f t="shared" si="1"/>
        <v>137491</v>
      </c>
    </row>
    <row r="23" spans="1:6">
      <c r="A23" s="25">
        <v>46131</v>
      </c>
      <c r="C23" t="str">
        <f t="shared" si="0"/>
        <v>Daily Sales</v>
      </c>
      <c r="D23" s="10">
        <f>IF(A23="","",SUMIFS('Sales Log'!$G$3:$G$2002,'Sales Log'!$A$3:$A$2002,A23))</f>
        <v>0</v>
      </c>
      <c r="E23" s="10">
        <f>IF(A23="","",SUMIFS('Shop Expenses'!$D$3:$D$2002,'Shop Expenses'!$A$3:$A$2002,A23)+SUMIFS('Farm Costs'!$D$3:$D$2002,'Farm Costs'!$A$3:$A$2002,A23))</f>
        <v>0</v>
      </c>
      <c r="F23" s="10">
        <f t="shared" si="1"/>
        <v>137491</v>
      </c>
    </row>
    <row r="24" spans="1:6">
      <c r="A24" s="25">
        <v>46132</v>
      </c>
      <c r="C24" t="str">
        <f t="shared" si="0"/>
        <v>Daily Sales</v>
      </c>
      <c r="D24" s="10">
        <f>IF(A24="","",SUMIFS('Sales Log'!$G$3:$G$2002,'Sales Log'!$A$3:$A$2002,A24))</f>
        <v>17621.5</v>
      </c>
      <c r="E24" s="10">
        <f>IF(A24="","",SUMIFS('Shop Expenses'!$D$3:$D$2002,'Shop Expenses'!$A$3:$A$2002,A24)+SUMIFS('Farm Costs'!$D$3:$D$2002,'Farm Costs'!$A$3:$A$2002,A24))</f>
        <v>0</v>
      </c>
      <c r="F24" s="10">
        <f t="shared" si="1"/>
        <v>155112.5</v>
      </c>
    </row>
    <row r="25" spans="1:6">
      <c r="A25" s="25">
        <v>46133</v>
      </c>
      <c r="C25" t="str">
        <f t="shared" si="0"/>
        <v>Daily Sales</v>
      </c>
      <c r="D25" s="10">
        <f>IF(A25="","",SUMIFS('Sales Log'!$G$3:$G$2002,'Sales Log'!$A$3:$A$2002,A25))</f>
        <v>9530</v>
      </c>
      <c r="E25" s="10">
        <f>IF(A25="","",SUMIFS('Shop Expenses'!$D$3:$D$2002,'Shop Expenses'!$A$3:$A$2002,A25)+SUMIFS('Farm Costs'!$D$3:$D$2002,'Farm Costs'!$A$3:$A$2002,A25))</f>
        <v>0</v>
      </c>
      <c r="F25" s="10">
        <f t="shared" si="1"/>
        <v>164642.5</v>
      </c>
    </row>
    <row r="26" spans="1:6">
      <c r="A26" s="25">
        <v>46134</v>
      </c>
      <c r="C26" t="str">
        <f t="shared" si="0"/>
        <v>Daily Sales</v>
      </c>
      <c r="D26" s="10">
        <f>IF(A26="","",SUMIFS('Sales Log'!$G$3:$G$2002,'Sales Log'!$A$3:$A$2002,A26))</f>
        <v>9105</v>
      </c>
      <c r="E26" s="10">
        <f>IF(A26="","",SUMIFS('Shop Expenses'!$D$3:$D$2002,'Shop Expenses'!$A$3:$A$2002,A26)+SUMIFS('Farm Costs'!$D$3:$D$2002,'Farm Costs'!$A$3:$A$2002,A26))</f>
        <v>0</v>
      </c>
      <c r="F26" s="10">
        <f t="shared" si="1"/>
        <v>173747.5</v>
      </c>
    </row>
    <row r="27" spans="1:6">
      <c r="A27" s="25">
        <v>46135</v>
      </c>
      <c r="C27" t="str">
        <f t="shared" si="0"/>
        <v>Daily Sales</v>
      </c>
      <c r="D27" s="10">
        <f>IF(A27="","",SUMIFS('Sales Log'!$G$3:$G$2002,'Sales Log'!$A$3:$A$2002,A27))</f>
        <v>38740</v>
      </c>
      <c r="E27" s="10">
        <f>IF(A27="","",SUMIFS('Shop Expenses'!$D$3:$D$2002,'Shop Expenses'!$A$3:$A$2002,A27)+SUMIFS('Farm Costs'!$D$3:$D$2002,'Farm Costs'!$A$3:$A$2002,A27))</f>
        <v>0</v>
      </c>
      <c r="F27" s="10">
        <f t="shared" si="1"/>
        <v>212487.5</v>
      </c>
    </row>
    <row r="28" spans="1:6">
      <c r="A28" s="25">
        <v>46136</v>
      </c>
      <c r="C28" t="str">
        <f t="shared" si="0"/>
        <v>Daily Sales</v>
      </c>
      <c r="D28" s="10">
        <f>IF(A28="","",SUMIFS('Sales Log'!$G$3:$G$2002,'Sales Log'!$A$3:$A$2002,A28))</f>
        <v>19013</v>
      </c>
      <c r="E28" s="10">
        <f>IF(A28="","",SUMIFS('Shop Expenses'!$D$3:$D$2002,'Shop Expenses'!$A$3:$A$2002,A28)+SUMIFS('Farm Costs'!$D$3:$D$2002,'Farm Costs'!$A$3:$A$2002,A28))</f>
        <v>0</v>
      </c>
      <c r="F28" s="10">
        <f t="shared" si="1"/>
        <v>231500.5</v>
      </c>
    </row>
    <row r="29" spans="1:6">
      <c r="A29" s="25">
        <v>46137</v>
      </c>
      <c r="C29" t="str">
        <f t="shared" si="0"/>
        <v>Daily Sales</v>
      </c>
      <c r="D29" s="10">
        <f>IF(A29="","",SUMIFS('Sales Log'!$G$3:$G$2002,'Sales Log'!$A$3:$A$2002,A29))</f>
        <v>9670</v>
      </c>
      <c r="E29" s="10">
        <f>IF(A29="","",SUMIFS('Shop Expenses'!$D$3:$D$2002,'Shop Expenses'!$A$3:$A$2002,A29)+SUMIFS('Farm Costs'!$D$3:$D$2002,'Farm Costs'!$A$3:$A$2002,A29))</f>
        <v>0</v>
      </c>
      <c r="F29" s="10">
        <f t="shared" si="1"/>
        <v>241170.5</v>
      </c>
    </row>
    <row r="30" spans="1:6">
      <c r="A30" s="25">
        <v>46138</v>
      </c>
      <c r="C30" t="str">
        <f t="shared" si="0"/>
        <v>Daily Sales</v>
      </c>
      <c r="D30" s="10">
        <f>IF(A30="","",SUMIFS('Sales Log'!$G$3:$G$2002,'Sales Log'!$A$3:$A$2002,A30))</f>
        <v>0</v>
      </c>
      <c r="E30" s="10">
        <f>IF(A30="","",SUMIFS('Shop Expenses'!$D$3:$D$2002,'Shop Expenses'!$A$3:$A$2002,A30)+SUMIFS('Farm Costs'!$D$3:$D$2002,'Farm Costs'!$A$3:$A$2002,A30))</f>
        <v>0</v>
      </c>
      <c r="F30" s="10">
        <f t="shared" si="1"/>
        <v>241170.5</v>
      </c>
    </row>
    <row r="31" spans="1:6">
      <c r="A31" s="25">
        <v>46139</v>
      </c>
      <c r="C31" t="str">
        <f t="shared" si="0"/>
        <v>Daily Sales</v>
      </c>
      <c r="D31" s="10">
        <f>IF(A31="","",SUMIFS('Sales Log'!$G$3:$G$2002,'Sales Log'!$A$3:$A$2002,A31))</f>
        <v>21594</v>
      </c>
      <c r="E31" s="10">
        <f>IF(A31="","",SUMIFS('Shop Expenses'!$D$3:$D$2002,'Shop Expenses'!$A$3:$A$2002,A31)+SUMIFS('Farm Costs'!$D$3:$D$2002,'Farm Costs'!$A$3:$A$2002,A31))</f>
        <v>0</v>
      </c>
      <c r="F31" s="10">
        <f t="shared" si="1"/>
        <v>262764.5</v>
      </c>
    </row>
    <row r="32" spans="1:6">
      <c r="A32" s="25">
        <v>46140</v>
      </c>
      <c r="C32" t="str">
        <f t="shared" si="0"/>
        <v>Daily Sales</v>
      </c>
      <c r="D32" s="10">
        <f>IF(A32="","",SUMIFS('Sales Log'!$G$3:$G$2002,'Sales Log'!$A$3:$A$2002,A32))</f>
        <v>9722</v>
      </c>
      <c r="E32" s="10">
        <f>IF(A32="","",SUMIFS('Shop Expenses'!$D$3:$D$2002,'Shop Expenses'!$A$3:$A$2002,A32)+SUMIFS('Farm Costs'!$D$3:$D$2002,'Farm Costs'!$A$3:$A$2002,A32))</f>
        <v>0</v>
      </c>
      <c r="F32" s="10">
        <f t="shared" si="1"/>
        <v>272486.5</v>
      </c>
    </row>
    <row r="33" spans="1:6">
      <c r="A33" s="25">
        <v>46141</v>
      </c>
      <c r="C33" t="str">
        <f t="shared" si="0"/>
        <v>Daily Sales</v>
      </c>
      <c r="D33" s="10">
        <f>IF(A33="","",SUMIFS('Sales Log'!$G$3:$G$2002,'Sales Log'!$A$3:$A$2002,A33))</f>
        <v>9635</v>
      </c>
      <c r="E33" s="10">
        <f>IF(A33="","",SUMIFS('Shop Expenses'!$D$3:$D$2002,'Shop Expenses'!$A$3:$A$2002,A33)+SUMIFS('Farm Costs'!$D$3:$D$2002,'Farm Costs'!$A$3:$A$2002,A33))</f>
        <v>0</v>
      </c>
      <c r="F33" s="10">
        <f t="shared" si="1"/>
        <v>282121.5</v>
      </c>
    </row>
    <row r="34" spans="1:6">
      <c r="A34" s="25">
        <v>46142</v>
      </c>
      <c r="C34" t="str">
        <f t="shared" si="0"/>
        <v>Daily Sales</v>
      </c>
      <c r="D34" s="10">
        <f>IF(A34="","",SUMIFS('Sales Log'!$G$3:$G$2002,'Sales Log'!$A$3:$A$2002,A34))</f>
        <v>14891</v>
      </c>
      <c r="E34" s="10">
        <f>IF(A34="","",SUMIFS('Shop Expenses'!$D$3:$D$2002,'Shop Expenses'!$A$3:$A$2002,A34)+SUMIFS('Farm Costs'!$D$3:$D$2002,'Farm Costs'!$A$3:$A$2002,A34))</f>
        <v>3740</v>
      </c>
      <c r="F34" s="10">
        <f t="shared" si="1"/>
        <v>293272.5</v>
      </c>
    </row>
    <row r="35" spans="1:6">
      <c r="A35" s="25">
        <v>46143</v>
      </c>
      <c r="C35" t="str">
        <f t="shared" si="0"/>
        <v>Daily Sales</v>
      </c>
      <c r="D35" s="10">
        <f>IF(A35="","",SUMIFS('Sales Log'!$G$3:$G$2002,'Sales Log'!$A$3:$A$2002,A35))</f>
        <v>2520</v>
      </c>
      <c r="E35" s="10">
        <f>IF(A35="","",SUMIFS('Shop Expenses'!$D$3:$D$2002,'Shop Expenses'!$A$3:$A$2002,A35)+SUMIFS('Farm Costs'!$D$3:$D$2002,'Farm Costs'!$A$3:$A$2002,A35))</f>
        <v>0</v>
      </c>
      <c r="F35" s="10">
        <f t="shared" si="1"/>
        <v>295792.5</v>
      </c>
    </row>
    <row r="36" spans="1:6">
      <c r="A36" s="25">
        <v>46144</v>
      </c>
      <c r="C36" t="str">
        <f t="shared" si="0"/>
        <v>Daily Sales</v>
      </c>
      <c r="D36" s="10">
        <f>IF(A36="","",SUMIFS('Sales Log'!$G$3:$G$2002,'Sales Log'!$A$3:$A$2002,A36))</f>
        <v>19040</v>
      </c>
      <c r="E36" s="10">
        <f>IF(A36="","",SUMIFS('Shop Expenses'!$D$3:$D$2002,'Shop Expenses'!$A$3:$A$2002,A36)+SUMIFS('Farm Costs'!$D$3:$D$2002,'Farm Costs'!$A$3:$A$2002,A36))</f>
        <v>0</v>
      </c>
      <c r="F36" s="10">
        <f t="shared" si="1"/>
        <v>314832.5</v>
      </c>
    </row>
    <row r="37" spans="1:6">
      <c r="A37" s="25">
        <v>46145</v>
      </c>
      <c r="C37" t="str">
        <f t="shared" si="0"/>
        <v>Daily Sales</v>
      </c>
      <c r="D37" s="10">
        <f>IF(A37="","",SUMIFS('Sales Log'!$G$3:$G$2002,'Sales Log'!$A$3:$A$2002,A37))</f>
        <v>0</v>
      </c>
      <c r="E37" s="10">
        <f>IF(A37="","",SUMIFS('Shop Expenses'!$D$3:$D$2002,'Shop Expenses'!$A$3:$A$2002,A37)+SUMIFS('Farm Costs'!$D$3:$D$2002,'Farm Costs'!$A$3:$A$2002,A37))</f>
        <v>0</v>
      </c>
      <c r="F37" s="10">
        <f t="shared" si="1"/>
        <v>314832.5</v>
      </c>
    </row>
    <row r="38" spans="1:6">
      <c r="A38" s="25">
        <v>46146</v>
      </c>
      <c r="C38" t="str">
        <f t="shared" si="0"/>
        <v>Daily Sales</v>
      </c>
      <c r="D38" s="10">
        <f>IF(A38="","",SUMIFS('Sales Log'!$G$3:$G$2002,'Sales Log'!$A$3:$A$2002,A38))</f>
        <v>12254</v>
      </c>
      <c r="E38" s="10">
        <f>IF(A38="","",SUMIFS('Shop Expenses'!$D$3:$D$2002,'Shop Expenses'!$A$3:$A$2002,A38)+SUMIFS('Farm Costs'!$D$3:$D$2002,'Farm Costs'!$A$3:$A$2002,A38))</f>
        <v>0</v>
      </c>
      <c r="F38" s="10">
        <f t="shared" si="1"/>
        <v>327086.5</v>
      </c>
    </row>
    <row r="39" spans="1:6">
      <c r="A39" s="25">
        <v>46147</v>
      </c>
      <c r="C39" t="str">
        <f t="shared" si="0"/>
        <v>Daily Sales</v>
      </c>
      <c r="D39" s="10">
        <f>IF(A39="","",SUMIFS('Sales Log'!$G$3:$G$2002,'Sales Log'!$A$3:$A$2002,A39))</f>
        <v>0</v>
      </c>
      <c r="E39" s="10">
        <f>IF(A39="","",SUMIFS('Shop Expenses'!$D$3:$D$2002,'Shop Expenses'!$A$3:$A$2002,A39)+SUMIFS('Farm Costs'!$D$3:$D$2002,'Farm Costs'!$A$3:$A$2002,A39))</f>
        <v>0</v>
      </c>
      <c r="F39" s="10">
        <f t="shared" si="1"/>
        <v>327086.5</v>
      </c>
    </row>
    <row r="40" spans="1:6">
      <c r="A40" s="25">
        <v>46148</v>
      </c>
      <c r="C40" t="str">
        <f t="shared" si="0"/>
        <v>Daily Sales</v>
      </c>
      <c r="D40" s="10">
        <f>IF(A40="","",SUMIFS('Sales Log'!$G$3:$G$2002,'Sales Log'!$A$3:$A$2002,A40))</f>
        <v>0</v>
      </c>
      <c r="E40" s="10">
        <f>IF(A40="","",SUMIFS('Shop Expenses'!$D$3:$D$2002,'Shop Expenses'!$A$3:$A$2002,A40)+SUMIFS('Farm Costs'!$D$3:$D$2002,'Farm Costs'!$A$3:$A$2002,A40))</f>
        <v>0</v>
      </c>
      <c r="F40" s="10">
        <f t="shared" si="1"/>
        <v>327086.5</v>
      </c>
    </row>
    <row r="41" spans="1:6">
      <c r="C41" t="str">
        <f t="shared" si="0"/>
        <v/>
      </c>
      <c r="D41" s="10" t="str">
        <f>IF(A41="","",SUMIFS('Sales Log'!$G$3:$G$2002,'Sales Log'!$A$3:$A$2002,A41))</f>
        <v/>
      </c>
      <c r="E41" s="10" t="str">
        <f>IF(A41="","",SUMIFS('Shop Expenses'!$D$3:$D$2002,'Shop Expenses'!$A$3:$A$2002,A41)+SUMIFS('Farm Costs'!$D$3:$D$2002,'Farm Costs'!$A$3:$A$2002,A41))</f>
        <v/>
      </c>
      <c r="F41" s="10" t="str">
        <f t="shared" si="1"/>
        <v/>
      </c>
    </row>
    <row r="42" spans="1:6">
      <c r="C42" t="str">
        <f t="shared" si="0"/>
        <v/>
      </c>
      <c r="D42" s="10" t="str">
        <f>IF(A42="","",SUMIFS('Sales Log'!$G$3:$G$2002,'Sales Log'!$A$3:$A$2002,A42))</f>
        <v/>
      </c>
      <c r="E42" s="10" t="str">
        <f>IF(A42="","",SUMIFS('Shop Expenses'!$D$3:$D$2002,'Shop Expenses'!$A$3:$A$2002,A42)+SUMIFS('Farm Costs'!$D$3:$D$2002,'Farm Costs'!$A$3:$A$2002,A42))</f>
        <v/>
      </c>
      <c r="F42" s="10" t="str">
        <f t="shared" si="1"/>
        <v/>
      </c>
    </row>
    <row r="43" spans="1:6">
      <c r="C43" t="str">
        <f t="shared" si="0"/>
        <v/>
      </c>
      <c r="D43" s="10" t="str">
        <f>IF(A43="","",SUMIFS('Sales Log'!$G$3:$G$2002,'Sales Log'!$A$3:$A$2002,A43))</f>
        <v/>
      </c>
      <c r="E43" s="10" t="str">
        <f>IF(A43="","",SUMIFS('Shop Expenses'!$D$3:$D$2002,'Shop Expenses'!$A$3:$A$2002,A43)+SUMIFS('Farm Costs'!$D$3:$D$2002,'Farm Costs'!$A$3:$A$2002,A43))</f>
        <v/>
      </c>
      <c r="F43" s="10" t="str">
        <f t="shared" si="1"/>
        <v/>
      </c>
    </row>
    <row r="44" spans="1:6">
      <c r="C44" t="str">
        <f t="shared" si="0"/>
        <v/>
      </c>
      <c r="D44" s="10" t="str">
        <f>IF(A44="","",SUMIFS('Sales Log'!$G$3:$G$2002,'Sales Log'!$A$3:$A$2002,A44))</f>
        <v/>
      </c>
      <c r="E44" s="10" t="str">
        <f>IF(A44="","",SUMIFS('Shop Expenses'!$D$3:$D$2002,'Shop Expenses'!$A$3:$A$2002,A44)+SUMIFS('Farm Costs'!$D$3:$D$2002,'Farm Costs'!$A$3:$A$2002,A44))</f>
        <v/>
      </c>
      <c r="F44" s="10" t="str">
        <f t="shared" si="1"/>
        <v/>
      </c>
    </row>
    <row r="45" spans="1:6">
      <c r="C45" t="str">
        <f t="shared" si="0"/>
        <v/>
      </c>
      <c r="D45" s="10" t="str">
        <f>IF(A45="","",SUMIFS('Sales Log'!$G$3:$G$2002,'Sales Log'!$A$3:$A$2002,A45))</f>
        <v/>
      </c>
      <c r="E45" s="10" t="str">
        <f>IF(A45="","",SUMIFS('Shop Expenses'!$D$3:$D$2002,'Shop Expenses'!$A$3:$A$2002,A45)+SUMIFS('Farm Costs'!$D$3:$D$2002,'Farm Costs'!$A$3:$A$2002,A45))</f>
        <v/>
      </c>
      <c r="F45" s="10" t="str">
        <f t="shared" si="1"/>
        <v/>
      </c>
    </row>
    <row r="46" spans="1:6">
      <c r="C46" t="str">
        <f t="shared" si="0"/>
        <v/>
      </c>
      <c r="D46" s="10" t="str">
        <f>IF(A46="","",SUMIFS('Sales Log'!$G$3:$G$2002,'Sales Log'!$A$3:$A$2002,A46))</f>
        <v/>
      </c>
      <c r="E46" s="10" t="str">
        <f>IF(A46="","",SUMIFS('Shop Expenses'!$D$3:$D$2002,'Shop Expenses'!$A$3:$A$2002,A46)+SUMIFS('Farm Costs'!$D$3:$D$2002,'Farm Costs'!$A$3:$A$2002,A46))</f>
        <v/>
      </c>
      <c r="F46" s="10" t="str">
        <f t="shared" si="1"/>
        <v/>
      </c>
    </row>
    <row r="47" spans="1:6">
      <c r="C47" t="str">
        <f t="shared" si="0"/>
        <v/>
      </c>
      <c r="D47" s="10" t="str">
        <f>IF(A47="","",SUMIFS('Sales Log'!$G$3:$G$2002,'Sales Log'!$A$3:$A$2002,A47))</f>
        <v/>
      </c>
      <c r="E47" s="10" t="str">
        <f>IF(A47="","",SUMIFS('Shop Expenses'!$D$3:$D$2002,'Shop Expenses'!$A$3:$A$2002,A47)+SUMIFS('Farm Costs'!$D$3:$D$2002,'Farm Costs'!$A$3:$A$2002,A47))</f>
        <v/>
      </c>
      <c r="F47" s="10" t="str">
        <f t="shared" si="1"/>
        <v/>
      </c>
    </row>
    <row r="48" spans="1:6">
      <c r="C48" t="str">
        <f t="shared" si="0"/>
        <v/>
      </c>
      <c r="D48" s="10" t="str">
        <f>IF(A48="","",SUMIFS('Sales Log'!$G$3:$G$2002,'Sales Log'!$A$3:$A$2002,A48))</f>
        <v/>
      </c>
      <c r="E48" s="10" t="str">
        <f>IF(A48="","",SUMIFS('Shop Expenses'!$D$3:$D$2002,'Shop Expenses'!$A$3:$A$2002,A48)+SUMIFS('Farm Costs'!$D$3:$D$2002,'Farm Costs'!$A$3:$A$2002,A48))</f>
        <v/>
      </c>
      <c r="F48" s="10" t="str">
        <f t="shared" si="1"/>
        <v/>
      </c>
    </row>
    <row r="49" spans="3:6">
      <c r="C49" t="str">
        <f t="shared" si="0"/>
        <v/>
      </c>
      <c r="D49" s="10" t="str">
        <f>IF(A49="","",SUMIFS('Sales Log'!$G$3:$G$2002,'Sales Log'!$A$3:$A$2002,A49))</f>
        <v/>
      </c>
      <c r="E49" s="10" t="str">
        <f>IF(A49="","",SUMIFS('Shop Expenses'!$D$3:$D$2002,'Shop Expenses'!$A$3:$A$2002,A49)+SUMIFS('Farm Costs'!$D$3:$D$2002,'Farm Costs'!$A$3:$A$2002,A49))</f>
        <v/>
      </c>
      <c r="F49" s="10" t="str">
        <f t="shared" si="1"/>
        <v/>
      </c>
    </row>
    <row r="50" spans="3:6">
      <c r="C50" t="str">
        <f t="shared" si="0"/>
        <v/>
      </c>
      <c r="D50" s="10" t="str">
        <f>IF(A50="","",SUMIFS('Sales Log'!$G$3:$G$2002,'Sales Log'!$A$3:$A$2002,A50))</f>
        <v/>
      </c>
      <c r="E50" s="10" t="str">
        <f>IF(A50="","",SUMIFS('Shop Expenses'!$D$3:$D$2002,'Shop Expenses'!$A$3:$A$2002,A50)+SUMIFS('Farm Costs'!$D$3:$D$2002,'Farm Costs'!$A$3:$A$2002,A50))</f>
        <v/>
      </c>
      <c r="F50" s="10" t="str">
        <f t="shared" si="1"/>
        <v/>
      </c>
    </row>
    <row r="51" spans="3:6">
      <c r="C51" t="str">
        <f t="shared" si="0"/>
        <v/>
      </c>
      <c r="D51" s="10" t="str">
        <f>IF(A51="","",SUMIFS('Sales Log'!$G$3:$G$2002,'Sales Log'!$A$3:$A$2002,A51))</f>
        <v/>
      </c>
      <c r="E51" s="10" t="str">
        <f>IF(A51="","",SUMIFS('Shop Expenses'!$D$3:$D$2002,'Shop Expenses'!$A$3:$A$2002,A51)+SUMIFS('Farm Costs'!$D$3:$D$2002,'Farm Costs'!$A$3:$A$2002,A51))</f>
        <v/>
      </c>
      <c r="F51" s="10" t="str">
        <f t="shared" si="1"/>
        <v/>
      </c>
    </row>
    <row r="52" spans="3:6">
      <c r="C52" t="str">
        <f t="shared" si="0"/>
        <v/>
      </c>
      <c r="D52" s="10" t="str">
        <f>IF(A52="","",SUMIFS('Sales Log'!$G$3:$G$2002,'Sales Log'!$A$3:$A$2002,A52))</f>
        <v/>
      </c>
      <c r="E52" s="10" t="str">
        <f>IF(A52="","",SUMIFS('Shop Expenses'!$D$3:$D$2002,'Shop Expenses'!$A$3:$A$2002,A52)+SUMIFS('Farm Costs'!$D$3:$D$2002,'Farm Costs'!$A$3:$A$2002,A52))</f>
        <v/>
      </c>
      <c r="F52" s="10" t="str">
        <f t="shared" si="1"/>
        <v/>
      </c>
    </row>
    <row r="53" spans="3:6">
      <c r="C53" t="str">
        <f t="shared" si="0"/>
        <v/>
      </c>
      <c r="D53" s="10" t="str">
        <f>IF(A53="","",SUMIFS('Sales Log'!$G$3:$G$2002,'Sales Log'!$A$3:$A$2002,A53))</f>
        <v/>
      </c>
      <c r="E53" s="10" t="str">
        <f>IF(A53="","",SUMIFS('Shop Expenses'!$D$3:$D$2002,'Shop Expenses'!$A$3:$A$2002,A53)+SUMIFS('Farm Costs'!$D$3:$D$2002,'Farm Costs'!$A$3:$A$2002,A53))</f>
        <v/>
      </c>
      <c r="F53" s="10" t="str">
        <f t="shared" si="1"/>
        <v/>
      </c>
    </row>
    <row r="54" spans="3:6">
      <c r="C54" t="str">
        <f t="shared" si="0"/>
        <v/>
      </c>
      <c r="D54" s="10" t="str">
        <f>IF(A54="","",SUMIFS('Sales Log'!$G$3:$G$2002,'Sales Log'!$A$3:$A$2002,A54))</f>
        <v/>
      </c>
      <c r="E54" s="10" t="str">
        <f>IF(A54="","",SUMIFS('Shop Expenses'!$D$3:$D$2002,'Shop Expenses'!$A$3:$A$2002,A54)+SUMIFS('Farm Costs'!$D$3:$D$2002,'Farm Costs'!$A$3:$A$2002,A54))</f>
        <v/>
      </c>
      <c r="F54" s="10" t="str">
        <f t="shared" si="1"/>
        <v/>
      </c>
    </row>
    <row r="55" spans="3:6">
      <c r="C55" t="str">
        <f t="shared" si="0"/>
        <v/>
      </c>
      <c r="D55" s="10" t="str">
        <f>IF(A55="","",SUMIFS('Sales Log'!$G$3:$G$2002,'Sales Log'!$A$3:$A$2002,A55))</f>
        <v/>
      </c>
      <c r="E55" s="10" t="str">
        <f>IF(A55="","",SUMIFS('Shop Expenses'!$D$3:$D$2002,'Shop Expenses'!$A$3:$A$2002,A55)+SUMIFS('Farm Costs'!$D$3:$D$2002,'Farm Costs'!$A$3:$A$2002,A55))</f>
        <v/>
      </c>
      <c r="F55" s="10" t="str">
        <f t="shared" si="1"/>
        <v/>
      </c>
    </row>
    <row r="56" spans="3:6">
      <c r="C56" t="str">
        <f t="shared" si="0"/>
        <v/>
      </c>
      <c r="D56" s="10" t="str">
        <f>IF(A56="","",SUMIFS('Sales Log'!$G$3:$G$2002,'Sales Log'!$A$3:$A$2002,A56))</f>
        <v/>
      </c>
      <c r="E56" s="10" t="str">
        <f>IF(A56="","",SUMIFS('Shop Expenses'!$D$3:$D$2002,'Shop Expenses'!$A$3:$A$2002,A56)+SUMIFS('Farm Costs'!$D$3:$D$2002,'Farm Costs'!$A$3:$A$2002,A56))</f>
        <v/>
      </c>
      <c r="F56" s="10" t="str">
        <f t="shared" si="1"/>
        <v/>
      </c>
    </row>
    <row r="57" spans="3:6">
      <c r="C57" t="str">
        <f t="shared" si="0"/>
        <v/>
      </c>
      <c r="D57" s="10" t="str">
        <f>IF(A57="","",SUMIFS('Sales Log'!$G$3:$G$2002,'Sales Log'!$A$3:$A$2002,A57))</f>
        <v/>
      </c>
      <c r="E57" s="10" t="str">
        <f>IF(A57="","",SUMIFS('Shop Expenses'!$D$3:$D$2002,'Shop Expenses'!$A$3:$A$2002,A57)+SUMIFS('Farm Costs'!$D$3:$D$2002,'Farm Costs'!$A$3:$A$2002,A57))</f>
        <v/>
      </c>
      <c r="F57" s="10" t="str">
        <f t="shared" si="1"/>
        <v/>
      </c>
    </row>
    <row r="58" spans="3:6">
      <c r="C58" t="str">
        <f t="shared" si="0"/>
        <v/>
      </c>
      <c r="D58" s="10" t="str">
        <f>IF(A58="","",SUMIFS('Sales Log'!$G$3:$G$2002,'Sales Log'!$A$3:$A$2002,A58))</f>
        <v/>
      </c>
      <c r="E58" s="10" t="str">
        <f>IF(A58="","",SUMIFS('Shop Expenses'!$D$3:$D$2002,'Shop Expenses'!$A$3:$A$2002,A58)+SUMIFS('Farm Costs'!$D$3:$D$2002,'Farm Costs'!$A$3:$A$2002,A58))</f>
        <v/>
      </c>
      <c r="F58" s="10" t="str">
        <f t="shared" si="1"/>
        <v/>
      </c>
    </row>
    <row r="59" spans="3:6">
      <c r="C59" t="str">
        <f t="shared" si="0"/>
        <v/>
      </c>
      <c r="D59" s="10" t="str">
        <f>IF(A59="","",SUMIFS('Sales Log'!$G$3:$G$2002,'Sales Log'!$A$3:$A$2002,A59))</f>
        <v/>
      </c>
      <c r="E59" s="10" t="str">
        <f>IF(A59="","",SUMIFS('Shop Expenses'!$D$3:$D$2002,'Shop Expenses'!$A$3:$A$2002,A59)+SUMIFS('Farm Costs'!$D$3:$D$2002,'Farm Costs'!$A$3:$A$2002,A59))</f>
        <v/>
      </c>
      <c r="F59" s="10" t="str">
        <f t="shared" si="1"/>
        <v/>
      </c>
    </row>
    <row r="60" spans="3:6">
      <c r="C60" t="str">
        <f t="shared" si="0"/>
        <v/>
      </c>
      <c r="D60" s="10" t="str">
        <f>IF(A60="","",SUMIFS('Sales Log'!$G$3:$G$2002,'Sales Log'!$A$3:$A$2002,A60))</f>
        <v/>
      </c>
      <c r="E60" s="10" t="str">
        <f>IF(A60="","",SUMIFS('Shop Expenses'!$D$3:$D$2002,'Shop Expenses'!$A$3:$A$2002,A60)+SUMIFS('Farm Costs'!$D$3:$D$2002,'Farm Costs'!$A$3:$A$2002,A60))</f>
        <v/>
      </c>
      <c r="F60" s="10" t="str">
        <f t="shared" si="1"/>
        <v/>
      </c>
    </row>
    <row r="61" spans="3:6">
      <c r="C61" t="str">
        <f t="shared" si="0"/>
        <v/>
      </c>
      <c r="D61" s="10" t="str">
        <f>IF(A61="","",SUMIFS('Sales Log'!$G$3:$G$2002,'Sales Log'!$A$3:$A$2002,A61))</f>
        <v/>
      </c>
      <c r="E61" s="10" t="str">
        <f>IF(A61="","",SUMIFS('Shop Expenses'!$D$3:$D$2002,'Shop Expenses'!$A$3:$A$2002,A61)+SUMIFS('Farm Costs'!$D$3:$D$2002,'Farm Costs'!$A$3:$A$2002,A61))</f>
        <v/>
      </c>
      <c r="F61" s="10" t="str">
        <f t="shared" si="1"/>
        <v/>
      </c>
    </row>
    <row r="62" spans="3:6">
      <c r="C62" t="str">
        <f t="shared" si="0"/>
        <v/>
      </c>
      <c r="D62" s="10" t="str">
        <f>IF(A62="","",SUMIFS('Sales Log'!$G$3:$G$2002,'Sales Log'!$A$3:$A$2002,A62))</f>
        <v/>
      </c>
      <c r="E62" s="10" t="str">
        <f>IF(A62="","",SUMIFS('Shop Expenses'!$D$3:$D$2002,'Shop Expenses'!$A$3:$A$2002,A62)+SUMIFS('Farm Costs'!$D$3:$D$2002,'Farm Costs'!$A$3:$A$2002,A62))</f>
        <v/>
      </c>
      <c r="F62" s="10" t="str">
        <f t="shared" si="1"/>
        <v/>
      </c>
    </row>
    <row r="63" spans="3:6">
      <c r="C63" t="str">
        <f t="shared" si="0"/>
        <v/>
      </c>
      <c r="D63" s="10" t="str">
        <f>IF(A63="","",SUMIFS('Sales Log'!$G$3:$G$2002,'Sales Log'!$A$3:$A$2002,A63))</f>
        <v/>
      </c>
      <c r="E63" s="10" t="str">
        <f>IF(A63="","",SUMIFS('Shop Expenses'!$D$3:$D$2002,'Shop Expenses'!$A$3:$A$2002,A63)+SUMIFS('Farm Costs'!$D$3:$D$2002,'Farm Costs'!$A$3:$A$2002,A63))</f>
        <v/>
      </c>
      <c r="F63" s="10" t="str">
        <f t="shared" si="1"/>
        <v/>
      </c>
    </row>
    <row r="64" spans="3:6">
      <c r="C64" t="str">
        <f t="shared" si="0"/>
        <v/>
      </c>
      <c r="D64" s="10" t="str">
        <f>IF(A64="","",SUMIFS('Sales Log'!$G$3:$G$2002,'Sales Log'!$A$3:$A$2002,A64))</f>
        <v/>
      </c>
      <c r="E64" s="10" t="str">
        <f>IF(A64="","",SUMIFS('Shop Expenses'!$D$3:$D$2002,'Shop Expenses'!$A$3:$A$2002,A64)+SUMIFS('Farm Costs'!$D$3:$D$2002,'Farm Costs'!$A$3:$A$2002,A64))</f>
        <v/>
      </c>
      <c r="F64" s="10" t="str">
        <f t="shared" si="1"/>
        <v/>
      </c>
    </row>
    <row r="65" spans="3:6">
      <c r="C65" t="str">
        <f t="shared" si="0"/>
        <v/>
      </c>
      <c r="D65" s="10" t="str">
        <f>IF(A65="","",SUMIFS('Sales Log'!$G$3:$G$2002,'Sales Log'!$A$3:$A$2002,A65))</f>
        <v/>
      </c>
      <c r="E65" s="10" t="str">
        <f>IF(A65="","",SUMIFS('Shop Expenses'!$D$3:$D$2002,'Shop Expenses'!$A$3:$A$2002,A65)+SUMIFS('Farm Costs'!$D$3:$D$2002,'Farm Costs'!$A$3:$A$2002,A65))</f>
        <v/>
      </c>
      <c r="F65" s="10" t="str">
        <f t="shared" si="1"/>
        <v/>
      </c>
    </row>
    <row r="66" spans="3:6">
      <c r="C66" t="str">
        <f t="shared" si="0"/>
        <v/>
      </c>
      <c r="D66" s="10" t="str">
        <f>IF(A66="","",SUMIFS('Sales Log'!$G$3:$G$2002,'Sales Log'!$A$3:$A$2002,A66))</f>
        <v/>
      </c>
      <c r="E66" s="10" t="str">
        <f>IF(A66="","",SUMIFS('Shop Expenses'!$D$3:$D$2002,'Shop Expenses'!$A$3:$A$2002,A66)+SUMIFS('Farm Costs'!$D$3:$D$2002,'Farm Costs'!$A$3:$A$2002,A66))</f>
        <v/>
      </c>
      <c r="F66" s="10" t="str">
        <f t="shared" si="1"/>
        <v/>
      </c>
    </row>
    <row r="67" spans="3:6">
      <c r="C67" t="str">
        <f t="shared" si="0"/>
        <v/>
      </c>
      <c r="D67" s="10" t="str">
        <f>IF(A67="","",SUMIFS('Sales Log'!$G$3:$G$2002,'Sales Log'!$A$3:$A$2002,A67))</f>
        <v/>
      </c>
      <c r="E67" s="10" t="str">
        <f>IF(A67="","",SUMIFS('Shop Expenses'!$D$3:$D$2002,'Shop Expenses'!$A$3:$A$2002,A67)+SUMIFS('Farm Costs'!$D$3:$D$2002,'Farm Costs'!$A$3:$A$2002,A67))</f>
        <v/>
      </c>
      <c r="F67" s="10" t="str">
        <f t="shared" si="1"/>
        <v/>
      </c>
    </row>
    <row r="68" spans="3:6">
      <c r="C68" t="str">
        <f t="shared" si="0"/>
        <v/>
      </c>
      <c r="D68" s="10" t="str">
        <f>IF(A68="","",SUMIFS('Sales Log'!$G$3:$G$2002,'Sales Log'!$A$3:$A$2002,A68))</f>
        <v/>
      </c>
      <c r="E68" s="10" t="str">
        <f>IF(A68="","",SUMIFS('Shop Expenses'!$D$3:$D$2002,'Shop Expenses'!$A$3:$A$2002,A68)+SUMIFS('Farm Costs'!$D$3:$D$2002,'Farm Costs'!$A$3:$A$2002,A68))</f>
        <v/>
      </c>
      <c r="F68" s="10" t="str">
        <f t="shared" si="1"/>
        <v/>
      </c>
    </row>
    <row r="69" spans="3:6">
      <c r="C69" t="str">
        <f t="shared" ref="C69:C132" si="2">IF(A69="","","Daily Sales")</f>
        <v/>
      </c>
      <c r="D69" s="10" t="str">
        <f>IF(A69="","",SUMIFS('Sales Log'!$G$3:$G$2002,'Sales Log'!$A$3:$A$2002,A69))</f>
        <v/>
      </c>
      <c r="E69" s="10" t="str">
        <f>IF(A69="","",SUMIFS('Shop Expenses'!$D$3:$D$2002,'Shop Expenses'!$A$3:$A$2002,A69)+SUMIFS('Farm Costs'!$D$3:$D$2002,'Farm Costs'!$A$3:$A$2002,A69))</f>
        <v/>
      </c>
      <c r="F69" s="10" t="str">
        <f t="shared" si="1"/>
        <v/>
      </c>
    </row>
    <row r="70" spans="3:6">
      <c r="C70" t="str">
        <f t="shared" si="2"/>
        <v/>
      </c>
      <c r="D70" s="10" t="str">
        <f>IF(A70="","",SUMIFS('Sales Log'!$G$3:$G$2002,'Sales Log'!$A$3:$A$2002,A70))</f>
        <v/>
      </c>
      <c r="E70" s="10" t="str">
        <f>IF(A70="","",SUMIFS('Shop Expenses'!$D$3:$D$2002,'Shop Expenses'!$A$3:$A$2002,A70)+SUMIFS('Farm Costs'!$D$3:$D$2002,'Farm Costs'!$A$3:$A$2002,A70))</f>
        <v/>
      </c>
      <c r="F70" s="10" t="str">
        <f t="shared" ref="F70:F133" si="3">IF(A70="","",F69+D70-E70)</f>
        <v/>
      </c>
    </row>
    <row r="71" spans="3:6">
      <c r="C71" t="str">
        <f t="shared" si="2"/>
        <v/>
      </c>
      <c r="D71" s="10" t="str">
        <f>IF(A71="","",SUMIFS('Sales Log'!$G$3:$G$2002,'Sales Log'!$A$3:$A$2002,A71))</f>
        <v/>
      </c>
      <c r="E71" s="10" t="str">
        <f>IF(A71="","",SUMIFS('Shop Expenses'!$D$3:$D$2002,'Shop Expenses'!$A$3:$A$2002,A71)+SUMIFS('Farm Costs'!$D$3:$D$2002,'Farm Costs'!$A$3:$A$2002,A71))</f>
        <v/>
      </c>
      <c r="F71" s="10" t="str">
        <f t="shared" si="3"/>
        <v/>
      </c>
    </row>
    <row r="72" spans="3:6">
      <c r="C72" t="str">
        <f t="shared" si="2"/>
        <v/>
      </c>
      <c r="D72" s="10" t="str">
        <f>IF(A72="","",SUMIFS('Sales Log'!$G$3:$G$2002,'Sales Log'!$A$3:$A$2002,A72))</f>
        <v/>
      </c>
      <c r="E72" s="10" t="str">
        <f>IF(A72="","",SUMIFS('Shop Expenses'!$D$3:$D$2002,'Shop Expenses'!$A$3:$A$2002,A72)+SUMIFS('Farm Costs'!$D$3:$D$2002,'Farm Costs'!$A$3:$A$2002,A72))</f>
        <v/>
      </c>
      <c r="F72" s="10" t="str">
        <f t="shared" si="3"/>
        <v/>
      </c>
    </row>
    <row r="73" spans="3:6">
      <c r="C73" t="str">
        <f t="shared" si="2"/>
        <v/>
      </c>
      <c r="D73" s="10" t="str">
        <f>IF(A73="","",SUMIFS('Sales Log'!$G$3:$G$2002,'Sales Log'!$A$3:$A$2002,A73))</f>
        <v/>
      </c>
      <c r="E73" s="10" t="str">
        <f>IF(A73="","",SUMIFS('Shop Expenses'!$D$3:$D$2002,'Shop Expenses'!$A$3:$A$2002,A73)+SUMIFS('Farm Costs'!$D$3:$D$2002,'Farm Costs'!$A$3:$A$2002,A73))</f>
        <v/>
      </c>
      <c r="F73" s="10" t="str">
        <f t="shared" si="3"/>
        <v/>
      </c>
    </row>
    <row r="74" spans="3:6">
      <c r="C74" t="str">
        <f t="shared" si="2"/>
        <v/>
      </c>
      <c r="D74" s="10" t="str">
        <f>IF(A74="","",SUMIFS('Sales Log'!$G$3:$G$2002,'Sales Log'!$A$3:$A$2002,A74))</f>
        <v/>
      </c>
      <c r="E74" s="10" t="str">
        <f>IF(A74="","",SUMIFS('Shop Expenses'!$D$3:$D$2002,'Shop Expenses'!$A$3:$A$2002,A74)+SUMIFS('Farm Costs'!$D$3:$D$2002,'Farm Costs'!$A$3:$A$2002,A74))</f>
        <v/>
      </c>
      <c r="F74" s="10" t="str">
        <f t="shared" si="3"/>
        <v/>
      </c>
    </row>
    <row r="75" spans="3:6">
      <c r="C75" t="str">
        <f t="shared" si="2"/>
        <v/>
      </c>
      <c r="D75" s="10" t="str">
        <f>IF(A75="","",SUMIFS('Sales Log'!$G$3:$G$2002,'Sales Log'!$A$3:$A$2002,A75))</f>
        <v/>
      </c>
      <c r="E75" s="10" t="str">
        <f>IF(A75="","",SUMIFS('Shop Expenses'!$D$3:$D$2002,'Shop Expenses'!$A$3:$A$2002,A75)+SUMIFS('Farm Costs'!$D$3:$D$2002,'Farm Costs'!$A$3:$A$2002,A75))</f>
        <v/>
      </c>
      <c r="F75" s="10" t="str">
        <f t="shared" si="3"/>
        <v/>
      </c>
    </row>
    <row r="76" spans="3:6">
      <c r="C76" t="str">
        <f t="shared" si="2"/>
        <v/>
      </c>
      <c r="D76" s="10" t="str">
        <f>IF(A76="","",SUMIFS('Sales Log'!$G$3:$G$2002,'Sales Log'!$A$3:$A$2002,A76))</f>
        <v/>
      </c>
      <c r="E76" s="10" t="str">
        <f>IF(A76="","",SUMIFS('Shop Expenses'!$D$3:$D$2002,'Shop Expenses'!$A$3:$A$2002,A76)+SUMIFS('Farm Costs'!$D$3:$D$2002,'Farm Costs'!$A$3:$A$2002,A76))</f>
        <v/>
      </c>
      <c r="F76" s="10" t="str">
        <f t="shared" si="3"/>
        <v/>
      </c>
    </row>
    <row r="77" spans="3:6">
      <c r="C77" t="str">
        <f t="shared" si="2"/>
        <v/>
      </c>
      <c r="D77" s="10" t="str">
        <f>IF(A77="","",SUMIFS('Sales Log'!$G$3:$G$2002,'Sales Log'!$A$3:$A$2002,A77))</f>
        <v/>
      </c>
      <c r="E77" s="10" t="str">
        <f>IF(A77="","",SUMIFS('Shop Expenses'!$D$3:$D$2002,'Shop Expenses'!$A$3:$A$2002,A77)+SUMIFS('Farm Costs'!$D$3:$D$2002,'Farm Costs'!$A$3:$A$2002,A77))</f>
        <v/>
      </c>
      <c r="F77" s="10" t="str">
        <f t="shared" si="3"/>
        <v/>
      </c>
    </row>
    <row r="78" spans="3:6">
      <c r="C78" t="str">
        <f t="shared" si="2"/>
        <v/>
      </c>
      <c r="D78" s="10" t="str">
        <f>IF(A78="","",SUMIFS('Sales Log'!$G$3:$G$2002,'Sales Log'!$A$3:$A$2002,A78))</f>
        <v/>
      </c>
      <c r="E78" s="10" t="str">
        <f>IF(A78="","",SUMIFS('Shop Expenses'!$D$3:$D$2002,'Shop Expenses'!$A$3:$A$2002,A78)+SUMIFS('Farm Costs'!$D$3:$D$2002,'Farm Costs'!$A$3:$A$2002,A78))</f>
        <v/>
      </c>
      <c r="F78" s="10" t="str">
        <f t="shared" si="3"/>
        <v/>
      </c>
    </row>
    <row r="79" spans="3:6">
      <c r="C79" t="str">
        <f t="shared" si="2"/>
        <v/>
      </c>
      <c r="D79" s="10" t="str">
        <f>IF(A79="","",SUMIFS('Sales Log'!$G$3:$G$2002,'Sales Log'!$A$3:$A$2002,A79))</f>
        <v/>
      </c>
      <c r="E79" s="10" t="str">
        <f>IF(A79="","",SUMIFS('Shop Expenses'!$D$3:$D$2002,'Shop Expenses'!$A$3:$A$2002,A79)+SUMIFS('Farm Costs'!$D$3:$D$2002,'Farm Costs'!$A$3:$A$2002,A79))</f>
        <v/>
      </c>
      <c r="F79" s="10" t="str">
        <f t="shared" si="3"/>
        <v/>
      </c>
    </row>
    <row r="80" spans="3:6">
      <c r="C80" t="str">
        <f t="shared" si="2"/>
        <v/>
      </c>
      <c r="D80" s="10" t="str">
        <f>IF(A80="","",SUMIFS('Sales Log'!$G$3:$G$2002,'Sales Log'!$A$3:$A$2002,A80))</f>
        <v/>
      </c>
      <c r="E80" s="10" t="str">
        <f>IF(A80="","",SUMIFS('Shop Expenses'!$D$3:$D$2002,'Shop Expenses'!$A$3:$A$2002,A80)+SUMIFS('Farm Costs'!$D$3:$D$2002,'Farm Costs'!$A$3:$A$2002,A80))</f>
        <v/>
      </c>
      <c r="F80" s="10" t="str">
        <f t="shared" si="3"/>
        <v/>
      </c>
    </row>
    <row r="81" spans="3:6">
      <c r="C81" t="str">
        <f t="shared" si="2"/>
        <v/>
      </c>
      <c r="D81" s="10" t="str">
        <f>IF(A81="","",SUMIFS('Sales Log'!$G$3:$G$2002,'Sales Log'!$A$3:$A$2002,A81))</f>
        <v/>
      </c>
      <c r="E81" s="10" t="str">
        <f>IF(A81="","",SUMIFS('Shop Expenses'!$D$3:$D$2002,'Shop Expenses'!$A$3:$A$2002,A81)+SUMIFS('Farm Costs'!$D$3:$D$2002,'Farm Costs'!$A$3:$A$2002,A81))</f>
        <v/>
      </c>
      <c r="F81" s="10" t="str">
        <f t="shared" si="3"/>
        <v/>
      </c>
    </row>
    <row r="82" spans="3:6">
      <c r="C82" t="str">
        <f t="shared" si="2"/>
        <v/>
      </c>
      <c r="D82" s="10" t="str">
        <f>IF(A82="","",SUMIFS('Sales Log'!$G$3:$G$2002,'Sales Log'!$A$3:$A$2002,A82))</f>
        <v/>
      </c>
      <c r="E82" s="10" t="str">
        <f>IF(A82="","",SUMIFS('Shop Expenses'!$D$3:$D$2002,'Shop Expenses'!$A$3:$A$2002,A82)+SUMIFS('Farm Costs'!$D$3:$D$2002,'Farm Costs'!$A$3:$A$2002,A82))</f>
        <v/>
      </c>
      <c r="F82" s="10" t="str">
        <f t="shared" si="3"/>
        <v/>
      </c>
    </row>
    <row r="83" spans="3:6">
      <c r="C83" t="str">
        <f t="shared" si="2"/>
        <v/>
      </c>
      <c r="D83" s="10" t="str">
        <f>IF(A83="","",SUMIFS('Sales Log'!$G$3:$G$2002,'Sales Log'!$A$3:$A$2002,A83))</f>
        <v/>
      </c>
      <c r="E83" s="10" t="str">
        <f>IF(A83="","",SUMIFS('Shop Expenses'!$D$3:$D$2002,'Shop Expenses'!$A$3:$A$2002,A83)+SUMIFS('Farm Costs'!$D$3:$D$2002,'Farm Costs'!$A$3:$A$2002,A83))</f>
        <v/>
      </c>
      <c r="F83" s="10" t="str">
        <f t="shared" si="3"/>
        <v/>
      </c>
    </row>
    <row r="84" spans="3:6">
      <c r="C84" t="str">
        <f t="shared" si="2"/>
        <v/>
      </c>
      <c r="D84" s="10" t="str">
        <f>IF(A84="","",SUMIFS('Sales Log'!$G$3:$G$2002,'Sales Log'!$A$3:$A$2002,A84))</f>
        <v/>
      </c>
      <c r="E84" s="10" t="str">
        <f>IF(A84="","",SUMIFS('Shop Expenses'!$D$3:$D$2002,'Shop Expenses'!$A$3:$A$2002,A84)+SUMIFS('Farm Costs'!$D$3:$D$2002,'Farm Costs'!$A$3:$A$2002,A84))</f>
        <v/>
      </c>
      <c r="F84" s="10" t="str">
        <f t="shared" si="3"/>
        <v/>
      </c>
    </row>
    <row r="85" spans="3:6">
      <c r="C85" t="str">
        <f t="shared" si="2"/>
        <v/>
      </c>
      <c r="D85" s="10" t="str">
        <f>IF(A85="","",SUMIFS('Sales Log'!$G$3:$G$2002,'Sales Log'!$A$3:$A$2002,A85))</f>
        <v/>
      </c>
      <c r="E85" s="10" t="str">
        <f>IF(A85="","",SUMIFS('Shop Expenses'!$D$3:$D$2002,'Shop Expenses'!$A$3:$A$2002,A85)+SUMIFS('Farm Costs'!$D$3:$D$2002,'Farm Costs'!$A$3:$A$2002,A85))</f>
        <v/>
      </c>
      <c r="F85" s="10" t="str">
        <f t="shared" si="3"/>
        <v/>
      </c>
    </row>
    <row r="86" spans="3:6">
      <c r="C86" t="str">
        <f t="shared" si="2"/>
        <v/>
      </c>
      <c r="D86" s="10" t="str">
        <f>IF(A86="","",SUMIFS('Sales Log'!$G$3:$G$2002,'Sales Log'!$A$3:$A$2002,A86))</f>
        <v/>
      </c>
      <c r="E86" s="10" t="str">
        <f>IF(A86="","",SUMIFS('Shop Expenses'!$D$3:$D$2002,'Shop Expenses'!$A$3:$A$2002,A86)+SUMIFS('Farm Costs'!$D$3:$D$2002,'Farm Costs'!$A$3:$A$2002,A86))</f>
        <v/>
      </c>
      <c r="F86" s="10" t="str">
        <f t="shared" si="3"/>
        <v/>
      </c>
    </row>
    <row r="87" spans="3:6">
      <c r="C87" t="str">
        <f t="shared" si="2"/>
        <v/>
      </c>
      <c r="D87" s="10" t="str">
        <f>IF(A87="","",SUMIFS('Sales Log'!$G$3:$G$2002,'Sales Log'!$A$3:$A$2002,A87))</f>
        <v/>
      </c>
      <c r="E87" s="10" t="str">
        <f>IF(A87="","",SUMIFS('Shop Expenses'!$D$3:$D$2002,'Shop Expenses'!$A$3:$A$2002,A87)+SUMIFS('Farm Costs'!$D$3:$D$2002,'Farm Costs'!$A$3:$A$2002,A87))</f>
        <v/>
      </c>
      <c r="F87" s="10" t="str">
        <f t="shared" si="3"/>
        <v/>
      </c>
    </row>
    <row r="88" spans="3:6">
      <c r="C88" t="str">
        <f t="shared" si="2"/>
        <v/>
      </c>
      <c r="D88" s="10" t="str">
        <f>IF(A88="","",SUMIFS('Sales Log'!$G$3:$G$2002,'Sales Log'!$A$3:$A$2002,A88))</f>
        <v/>
      </c>
      <c r="E88" s="10" t="str">
        <f>IF(A88="","",SUMIFS('Shop Expenses'!$D$3:$D$2002,'Shop Expenses'!$A$3:$A$2002,A88)+SUMIFS('Farm Costs'!$D$3:$D$2002,'Farm Costs'!$A$3:$A$2002,A88))</f>
        <v/>
      </c>
      <c r="F88" s="10" t="str">
        <f t="shared" si="3"/>
        <v/>
      </c>
    </row>
    <row r="89" spans="3:6">
      <c r="C89" t="str">
        <f t="shared" si="2"/>
        <v/>
      </c>
      <c r="D89" s="10" t="str">
        <f>IF(A89="","",SUMIFS('Sales Log'!$G$3:$G$2002,'Sales Log'!$A$3:$A$2002,A89))</f>
        <v/>
      </c>
      <c r="E89" s="10" t="str">
        <f>IF(A89="","",SUMIFS('Shop Expenses'!$D$3:$D$2002,'Shop Expenses'!$A$3:$A$2002,A89)+SUMIFS('Farm Costs'!$D$3:$D$2002,'Farm Costs'!$A$3:$A$2002,A89))</f>
        <v/>
      </c>
      <c r="F89" s="10" t="str">
        <f t="shared" si="3"/>
        <v/>
      </c>
    </row>
    <row r="90" spans="3:6">
      <c r="C90" t="str">
        <f t="shared" si="2"/>
        <v/>
      </c>
      <c r="D90" s="10" t="str">
        <f>IF(A90="","",SUMIFS('Sales Log'!$G$3:$G$2002,'Sales Log'!$A$3:$A$2002,A90))</f>
        <v/>
      </c>
      <c r="E90" s="10" t="str">
        <f>IF(A90="","",SUMIFS('Shop Expenses'!$D$3:$D$2002,'Shop Expenses'!$A$3:$A$2002,A90)+SUMIFS('Farm Costs'!$D$3:$D$2002,'Farm Costs'!$A$3:$A$2002,A90))</f>
        <v/>
      </c>
      <c r="F90" s="10" t="str">
        <f t="shared" si="3"/>
        <v/>
      </c>
    </row>
    <row r="91" spans="3:6">
      <c r="C91" t="str">
        <f t="shared" si="2"/>
        <v/>
      </c>
      <c r="D91" s="10" t="str">
        <f>IF(A91="","",SUMIFS('Sales Log'!$G$3:$G$2002,'Sales Log'!$A$3:$A$2002,A91))</f>
        <v/>
      </c>
      <c r="E91" s="10" t="str">
        <f>IF(A91="","",SUMIFS('Shop Expenses'!$D$3:$D$2002,'Shop Expenses'!$A$3:$A$2002,A91)+SUMIFS('Farm Costs'!$D$3:$D$2002,'Farm Costs'!$A$3:$A$2002,A91))</f>
        <v/>
      </c>
      <c r="F91" s="10" t="str">
        <f t="shared" si="3"/>
        <v/>
      </c>
    </row>
    <row r="92" spans="3:6">
      <c r="C92" t="str">
        <f t="shared" si="2"/>
        <v/>
      </c>
      <c r="D92" s="10" t="str">
        <f>IF(A92="","",SUMIFS('Sales Log'!$G$3:$G$2002,'Sales Log'!$A$3:$A$2002,A92))</f>
        <v/>
      </c>
      <c r="E92" s="10" t="str">
        <f>IF(A92="","",SUMIFS('Shop Expenses'!$D$3:$D$2002,'Shop Expenses'!$A$3:$A$2002,A92)+SUMIFS('Farm Costs'!$D$3:$D$2002,'Farm Costs'!$A$3:$A$2002,A92))</f>
        <v/>
      </c>
      <c r="F92" s="10" t="str">
        <f t="shared" si="3"/>
        <v/>
      </c>
    </row>
    <row r="93" spans="3:6">
      <c r="C93" t="str">
        <f t="shared" si="2"/>
        <v/>
      </c>
      <c r="D93" s="10" t="str">
        <f>IF(A93="","",SUMIFS('Sales Log'!$G$3:$G$2002,'Sales Log'!$A$3:$A$2002,A93))</f>
        <v/>
      </c>
      <c r="E93" s="10" t="str">
        <f>IF(A93="","",SUMIFS('Shop Expenses'!$D$3:$D$2002,'Shop Expenses'!$A$3:$A$2002,A93)+SUMIFS('Farm Costs'!$D$3:$D$2002,'Farm Costs'!$A$3:$A$2002,A93))</f>
        <v/>
      </c>
      <c r="F93" s="10" t="str">
        <f t="shared" si="3"/>
        <v/>
      </c>
    </row>
    <row r="94" spans="3:6">
      <c r="C94" t="str">
        <f t="shared" si="2"/>
        <v/>
      </c>
      <c r="D94" s="10" t="str">
        <f>IF(A94="","",SUMIFS('Sales Log'!$G$3:$G$2002,'Sales Log'!$A$3:$A$2002,A94))</f>
        <v/>
      </c>
      <c r="E94" s="10" t="str">
        <f>IF(A94="","",SUMIFS('Shop Expenses'!$D$3:$D$2002,'Shop Expenses'!$A$3:$A$2002,A94)+SUMIFS('Farm Costs'!$D$3:$D$2002,'Farm Costs'!$A$3:$A$2002,A94))</f>
        <v/>
      </c>
      <c r="F94" s="10" t="str">
        <f t="shared" si="3"/>
        <v/>
      </c>
    </row>
    <row r="95" spans="3:6">
      <c r="C95" t="str">
        <f t="shared" si="2"/>
        <v/>
      </c>
      <c r="D95" s="10" t="str">
        <f>IF(A95="","",SUMIFS('Sales Log'!$G$3:$G$2002,'Sales Log'!$A$3:$A$2002,A95))</f>
        <v/>
      </c>
      <c r="E95" s="10" t="str">
        <f>IF(A95="","",SUMIFS('Shop Expenses'!$D$3:$D$2002,'Shop Expenses'!$A$3:$A$2002,A95)+SUMIFS('Farm Costs'!$D$3:$D$2002,'Farm Costs'!$A$3:$A$2002,A95))</f>
        <v/>
      </c>
      <c r="F95" s="10" t="str">
        <f t="shared" si="3"/>
        <v/>
      </c>
    </row>
    <row r="96" spans="3:6">
      <c r="C96" t="str">
        <f t="shared" si="2"/>
        <v/>
      </c>
      <c r="D96" s="10" t="str">
        <f>IF(A96="","",SUMIFS('Sales Log'!$G$3:$G$2002,'Sales Log'!$A$3:$A$2002,A96))</f>
        <v/>
      </c>
      <c r="E96" s="10" t="str">
        <f>IF(A96="","",SUMIFS('Shop Expenses'!$D$3:$D$2002,'Shop Expenses'!$A$3:$A$2002,A96)+SUMIFS('Farm Costs'!$D$3:$D$2002,'Farm Costs'!$A$3:$A$2002,A96))</f>
        <v/>
      </c>
      <c r="F96" s="10" t="str">
        <f t="shared" si="3"/>
        <v/>
      </c>
    </row>
    <row r="97" spans="3:6">
      <c r="C97" t="str">
        <f t="shared" si="2"/>
        <v/>
      </c>
      <c r="D97" s="10" t="str">
        <f>IF(A97="","",SUMIFS('Sales Log'!$G$3:$G$2002,'Sales Log'!$A$3:$A$2002,A97))</f>
        <v/>
      </c>
      <c r="E97" s="10" t="str">
        <f>IF(A97="","",SUMIFS('Shop Expenses'!$D$3:$D$2002,'Shop Expenses'!$A$3:$A$2002,A97)+SUMIFS('Farm Costs'!$D$3:$D$2002,'Farm Costs'!$A$3:$A$2002,A97))</f>
        <v/>
      </c>
      <c r="F97" s="10" t="str">
        <f t="shared" si="3"/>
        <v/>
      </c>
    </row>
    <row r="98" spans="3:6">
      <c r="C98" t="str">
        <f t="shared" si="2"/>
        <v/>
      </c>
      <c r="D98" s="10" t="str">
        <f>IF(A98="","",SUMIFS('Sales Log'!$G$3:$G$2002,'Sales Log'!$A$3:$A$2002,A98))</f>
        <v/>
      </c>
      <c r="E98" s="10" t="str">
        <f>IF(A98="","",SUMIFS('Shop Expenses'!$D$3:$D$2002,'Shop Expenses'!$A$3:$A$2002,A98)+SUMIFS('Farm Costs'!$D$3:$D$2002,'Farm Costs'!$A$3:$A$2002,A98))</f>
        <v/>
      </c>
      <c r="F98" s="10" t="str">
        <f t="shared" si="3"/>
        <v/>
      </c>
    </row>
    <row r="99" spans="3:6">
      <c r="C99" t="str">
        <f t="shared" si="2"/>
        <v/>
      </c>
      <c r="D99" s="10" t="str">
        <f>IF(A99="","",SUMIFS('Sales Log'!$G$3:$G$2002,'Sales Log'!$A$3:$A$2002,A99))</f>
        <v/>
      </c>
      <c r="E99" s="10" t="str">
        <f>IF(A99="","",SUMIFS('Shop Expenses'!$D$3:$D$2002,'Shop Expenses'!$A$3:$A$2002,A99)+SUMIFS('Farm Costs'!$D$3:$D$2002,'Farm Costs'!$A$3:$A$2002,A99))</f>
        <v/>
      </c>
      <c r="F99" s="10" t="str">
        <f t="shared" si="3"/>
        <v/>
      </c>
    </row>
    <row r="100" spans="3:6">
      <c r="C100" t="str">
        <f t="shared" si="2"/>
        <v/>
      </c>
      <c r="D100" s="10" t="str">
        <f>IF(A100="","",SUMIFS('Sales Log'!$G$3:$G$2002,'Sales Log'!$A$3:$A$2002,A100))</f>
        <v/>
      </c>
      <c r="E100" s="10" t="str">
        <f>IF(A100="","",SUMIFS('Shop Expenses'!$D$3:$D$2002,'Shop Expenses'!$A$3:$A$2002,A100)+SUMIFS('Farm Costs'!$D$3:$D$2002,'Farm Costs'!$A$3:$A$2002,A100))</f>
        <v/>
      </c>
      <c r="F100" s="10" t="str">
        <f t="shared" si="3"/>
        <v/>
      </c>
    </row>
    <row r="101" spans="3:6">
      <c r="C101" t="str">
        <f t="shared" si="2"/>
        <v/>
      </c>
      <c r="D101" s="10" t="str">
        <f>IF(A101="","",SUMIFS('Sales Log'!$G$3:$G$2002,'Sales Log'!$A$3:$A$2002,A101))</f>
        <v/>
      </c>
      <c r="E101" s="10" t="str">
        <f>IF(A101="","",SUMIFS('Shop Expenses'!$D$3:$D$2002,'Shop Expenses'!$A$3:$A$2002,A101)+SUMIFS('Farm Costs'!$D$3:$D$2002,'Farm Costs'!$A$3:$A$2002,A101))</f>
        <v/>
      </c>
      <c r="F101" s="10" t="str">
        <f t="shared" si="3"/>
        <v/>
      </c>
    </row>
    <row r="102" spans="3:6">
      <c r="C102" t="str">
        <f t="shared" si="2"/>
        <v/>
      </c>
      <c r="D102" s="10" t="str">
        <f>IF(A102="","",SUMIFS('Sales Log'!$G$3:$G$2002,'Sales Log'!$A$3:$A$2002,A102))</f>
        <v/>
      </c>
      <c r="E102" s="10" t="str">
        <f>IF(A102="","",SUMIFS('Shop Expenses'!$D$3:$D$2002,'Shop Expenses'!$A$3:$A$2002,A102)+SUMIFS('Farm Costs'!$D$3:$D$2002,'Farm Costs'!$A$3:$A$2002,A102))</f>
        <v/>
      </c>
      <c r="F102" s="10" t="str">
        <f t="shared" si="3"/>
        <v/>
      </c>
    </row>
    <row r="103" spans="3:6">
      <c r="C103" t="str">
        <f t="shared" si="2"/>
        <v/>
      </c>
      <c r="D103" s="10" t="str">
        <f>IF(A103="","",SUMIFS('Sales Log'!$G$3:$G$2002,'Sales Log'!$A$3:$A$2002,A103))</f>
        <v/>
      </c>
      <c r="E103" s="10" t="str">
        <f>IF(A103="","",SUMIFS('Shop Expenses'!$D$3:$D$2002,'Shop Expenses'!$A$3:$A$2002,A103)+SUMIFS('Farm Costs'!$D$3:$D$2002,'Farm Costs'!$A$3:$A$2002,A103))</f>
        <v/>
      </c>
      <c r="F103" s="10" t="str">
        <f t="shared" si="3"/>
        <v/>
      </c>
    </row>
    <row r="104" spans="3:6">
      <c r="C104" t="str">
        <f t="shared" si="2"/>
        <v/>
      </c>
      <c r="D104" s="10" t="str">
        <f>IF(A104="","",SUMIFS('Sales Log'!$G$3:$G$2002,'Sales Log'!$A$3:$A$2002,A104))</f>
        <v/>
      </c>
      <c r="E104" s="10" t="str">
        <f>IF(A104="","",SUMIFS('Shop Expenses'!$D$3:$D$2002,'Shop Expenses'!$A$3:$A$2002,A104)+SUMIFS('Farm Costs'!$D$3:$D$2002,'Farm Costs'!$A$3:$A$2002,A104))</f>
        <v/>
      </c>
      <c r="F104" s="10" t="str">
        <f t="shared" si="3"/>
        <v/>
      </c>
    </row>
    <row r="105" spans="3:6">
      <c r="C105" t="str">
        <f t="shared" si="2"/>
        <v/>
      </c>
      <c r="D105" s="10" t="str">
        <f>IF(A105="","",SUMIFS('Sales Log'!$G$3:$G$2002,'Sales Log'!$A$3:$A$2002,A105))</f>
        <v/>
      </c>
      <c r="E105" s="10" t="str">
        <f>IF(A105="","",SUMIFS('Shop Expenses'!$D$3:$D$2002,'Shop Expenses'!$A$3:$A$2002,A105)+SUMIFS('Farm Costs'!$D$3:$D$2002,'Farm Costs'!$A$3:$A$2002,A105))</f>
        <v/>
      </c>
      <c r="F105" s="10" t="str">
        <f t="shared" si="3"/>
        <v/>
      </c>
    </row>
    <row r="106" spans="3:6">
      <c r="C106" t="str">
        <f t="shared" si="2"/>
        <v/>
      </c>
      <c r="D106" s="10" t="str">
        <f>IF(A106="","",SUMIFS('Sales Log'!$G$3:$G$2002,'Sales Log'!$A$3:$A$2002,A106))</f>
        <v/>
      </c>
      <c r="E106" s="10" t="str">
        <f>IF(A106="","",SUMIFS('Shop Expenses'!$D$3:$D$2002,'Shop Expenses'!$A$3:$A$2002,A106)+SUMIFS('Farm Costs'!$D$3:$D$2002,'Farm Costs'!$A$3:$A$2002,A106))</f>
        <v/>
      </c>
      <c r="F106" s="10" t="str">
        <f t="shared" si="3"/>
        <v/>
      </c>
    </row>
    <row r="107" spans="3:6">
      <c r="C107" t="str">
        <f t="shared" si="2"/>
        <v/>
      </c>
      <c r="D107" s="10" t="str">
        <f>IF(A107="","",SUMIFS('Sales Log'!$G$3:$G$2002,'Sales Log'!$A$3:$A$2002,A107))</f>
        <v/>
      </c>
      <c r="E107" s="10" t="str">
        <f>IF(A107="","",SUMIFS('Shop Expenses'!$D$3:$D$2002,'Shop Expenses'!$A$3:$A$2002,A107)+SUMIFS('Farm Costs'!$D$3:$D$2002,'Farm Costs'!$A$3:$A$2002,A107))</f>
        <v/>
      </c>
      <c r="F107" s="10" t="str">
        <f t="shared" si="3"/>
        <v/>
      </c>
    </row>
    <row r="108" spans="3:6">
      <c r="C108" t="str">
        <f t="shared" si="2"/>
        <v/>
      </c>
      <c r="D108" s="10" t="str">
        <f>IF(A108="","",SUMIFS('Sales Log'!$G$3:$G$2002,'Sales Log'!$A$3:$A$2002,A108))</f>
        <v/>
      </c>
      <c r="E108" s="10" t="str">
        <f>IF(A108="","",SUMIFS('Shop Expenses'!$D$3:$D$2002,'Shop Expenses'!$A$3:$A$2002,A108)+SUMIFS('Farm Costs'!$D$3:$D$2002,'Farm Costs'!$A$3:$A$2002,A108))</f>
        <v/>
      </c>
      <c r="F108" s="10" t="str">
        <f t="shared" si="3"/>
        <v/>
      </c>
    </row>
    <row r="109" spans="3:6">
      <c r="C109" t="str">
        <f t="shared" si="2"/>
        <v/>
      </c>
      <c r="D109" s="10" t="str">
        <f>IF(A109="","",SUMIFS('Sales Log'!$G$3:$G$2002,'Sales Log'!$A$3:$A$2002,A109))</f>
        <v/>
      </c>
      <c r="E109" s="10" t="str">
        <f>IF(A109="","",SUMIFS('Shop Expenses'!$D$3:$D$2002,'Shop Expenses'!$A$3:$A$2002,A109)+SUMIFS('Farm Costs'!$D$3:$D$2002,'Farm Costs'!$A$3:$A$2002,A109))</f>
        <v/>
      </c>
      <c r="F109" s="10" t="str">
        <f t="shared" si="3"/>
        <v/>
      </c>
    </row>
    <row r="110" spans="3:6">
      <c r="C110" t="str">
        <f t="shared" si="2"/>
        <v/>
      </c>
      <c r="D110" s="10" t="str">
        <f>IF(A110="","",SUMIFS('Sales Log'!$G$3:$G$2002,'Sales Log'!$A$3:$A$2002,A110))</f>
        <v/>
      </c>
      <c r="E110" s="10" t="str">
        <f>IF(A110="","",SUMIFS('Shop Expenses'!$D$3:$D$2002,'Shop Expenses'!$A$3:$A$2002,A110)+SUMIFS('Farm Costs'!$D$3:$D$2002,'Farm Costs'!$A$3:$A$2002,A110))</f>
        <v/>
      </c>
      <c r="F110" s="10" t="str">
        <f t="shared" si="3"/>
        <v/>
      </c>
    </row>
    <row r="111" spans="3:6">
      <c r="C111" t="str">
        <f t="shared" si="2"/>
        <v/>
      </c>
      <c r="D111" s="10" t="str">
        <f>IF(A111="","",SUMIFS('Sales Log'!$G$3:$G$2002,'Sales Log'!$A$3:$A$2002,A111))</f>
        <v/>
      </c>
      <c r="E111" s="10" t="str">
        <f>IF(A111="","",SUMIFS('Shop Expenses'!$D$3:$D$2002,'Shop Expenses'!$A$3:$A$2002,A111)+SUMIFS('Farm Costs'!$D$3:$D$2002,'Farm Costs'!$A$3:$A$2002,A111))</f>
        <v/>
      </c>
      <c r="F111" s="10" t="str">
        <f t="shared" si="3"/>
        <v/>
      </c>
    </row>
    <row r="112" spans="3:6">
      <c r="C112" t="str">
        <f t="shared" si="2"/>
        <v/>
      </c>
      <c r="D112" s="10" t="str">
        <f>IF(A112="","",SUMIFS('Sales Log'!$G$3:$G$2002,'Sales Log'!$A$3:$A$2002,A112))</f>
        <v/>
      </c>
      <c r="E112" s="10" t="str">
        <f>IF(A112="","",SUMIFS('Shop Expenses'!$D$3:$D$2002,'Shop Expenses'!$A$3:$A$2002,A112)+SUMIFS('Farm Costs'!$D$3:$D$2002,'Farm Costs'!$A$3:$A$2002,A112))</f>
        <v/>
      </c>
      <c r="F112" s="10" t="str">
        <f t="shared" si="3"/>
        <v/>
      </c>
    </row>
    <row r="113" spans="3:6">
      <c r="C113" t="str">
        <f t="shared" si="2"/>
        <v/>
      </c>
      <c r="D113" s="10" t="str">
        <f>IF(A113="","",SUMIFS('Sales Log'!$G$3:$G$2002,'Sales Log'!$A$3:$A$2002,A113))</f>
        <v/>
      </c>
      <c r="E113" s="10" t="str">
        <f>IF(A113="","",SUMIFS('Shop Expenses'!$D$3:$D$2002,'Shop Expenses'!$A$3:$A$2002,A113)+SUMIFS('Farm Costs'!$D$3:$D$2002,'Farm Costs'!$A$3:$A$2002,A113))</f>
        <v/>
      </c>
      <c r="F113" s="10" t="str">
        <f t="shared" si="3"/>
        <v/>
      </c>
    </row>
    <row r="114" spans="3:6">
      <c r="C114" t="str">
        <f t="shared" si="2"/>
        <v/>
      </c>
      <c r="D114" s="10" t="str">
        <f>IF(A114="","",SUMIFS('Sales Log'!$G$3:$G$2002,'Sales Log'!$A$3:$A$2002,A114))</f>
        <v/>
      </c>
      <c r="E114" s="10" t="str">
        <f>IF(A114="","",SUMIFS('Shop Expenses'!$D$3:$D$2002,'Shop Expenses'!$A$3:$A$2002,A114)+SUMIFS('Farm Costs'!$D$3:$D$2002,'Farm Costs'!$A$3:$A$2002,A114))</f>
        <v/>
      </c>
      <c r="F114" s="10" t="str">
        <f t="shared" si="3"/>
        <v/>
      </c>
    </row>
    <row r="115" spans="3:6">
      <c r="C115" t="str">
        <f t="shared" si="2"/>
        <v/>
      </c>
      <c r="D115" s="10" t="str">
        <f>IF(A115="","",SUMIFS('Sales Log'!$G$3:$G$2002,'Sales Log'!$A$3:$A$2002,A115))</f>
        <v/>
      </c>
      <c r="E115" s="10" t="str">
        <f>IF(A115="","",SUMIFS('Shop Expenses'!$D$3:$D$2002,'Shop Expenses'!$A$3:$A$2002,A115)+SUMIFS('Farm Costs'!$D$3:$D$2002,'Farm Costs'!$A$3:$A$2002,A115))</f>
        <v/>
      </c>
      <c r="F115" s="10" t="str">
        <f t="shared" si="3"/>
        <v/>
      </c>
    </row>
    <row r="116" spans="3:6">
      <c r="C116" t="str">
        <f t="shared" si="2"/>
        <v/>
      </c>
      <c r="D116" s="10" t="str">
        <f>IF(A116="","",SUMIFS('Sales Log'!$G$3:$G$2002,'Sales Log'!$A$3:$A$2002,A116))</f>
        <v/>
      </c>
      <c r="E116" s="10" t="str">
        <f>IF(A116="","",SUMIFS('Shop Expenses'!$D$3:$D$2002,'Shop Expenses'!$A$3:$A$2002,A116)+SUMIFS('Farm Costs'!$D$3:$D$2002,'Farm Costs'!$A$3:$A$2002,A116))</f>
        <v/>
      </c>
      <c r="F116" s="10" t="str">
        <f t="shared" si="3"/>
        <v/>
      </c>
    </row>
    <row r="117" spans="3:6">
      <c r="C117" t="str">
        <f t="shared" si="2"/>
        <v/>
      </c>
      <c r="D117" s="10" t="str">
        <f>IF(A117="","",SUMIFS('Sales Log'!$G$3:$G$2002,'Sales Log'!$A$3:$A$2002,A117))</f>
        <v/>
      </c>
      <c r="E117" s="10" t="str">
        <f>IF(A117="","",SUMIFS('Shop Expenses'!$D$3:$D$2002,'Shop Expenses'!$A$3:$A$2002,A117)+SUMIFS('Farm Costs'!$D$3:$D$2002,'Farm Costs'!$A$3:$A$2002,A117))</f>
        <v/>
      </c>
      <c r="F117" s="10" t="str">
        <f t="shared" si="3"/>
        <v/>
      </c>
    </row>
    <row r="118" spans="3:6">
      <c r="C118" t="str">
        <f t="shared" si="2"/>
        <v/>
      </c>
      <c r="D118" s="10" t="str">
        <f>IF(A118="","",SUMIFS('Sales Log'!$G$3:$G$2002,'Sales Log'!$A$3:$A$2002,A118))</f>
        <v/>
      </c>
      <c r="E118" s="10" t="str">
        <f>IF(A118="","",SUMIFS('Shop Expenses'!$D$3:$D$2002,'Shop Expenses'!$A$3:$A$2002,A118)+SUMIFS('Farm Costs'!$D$3:$D$2002,'Farm Costs'!$A$3:$A$2002,A118))</f>
        <v/>
      </c>
      <c r="F118" s="10" t="str">
        <f t="shared" si="3"/>
        <v/>
      </c>
    </row>
    <row r="119" spans="3:6">
      <c r="C119" t="str">
        <f t="shared" si="2"/>
        <v/>
      </c>
      <c r="D119" s="10" t="str">
        <f>IF(A119="","",SUMIFS('Sales Log'!$G$3:$G$2002,'Sales Log'!$A$3:$A$2002,A119))</f>
        <v/>
      </c>
      <c r="E119" s="10" t="str">
        <f>IF(A119="","",SUMIFS('Shop Expenses'!$D$3:$D$2002,'Shop Expenses'!$A$3:$A$2002,A119)+SUMIFS('Farm Costs'!$D$3:$D$2002,'Farm Costs'!$A$3:$A$2002,A119))</f>
        <v/>
      </c>
      <c r="F119" s="10" t="str">
        <f t="shared" si="3"/>
        <v/>
      </c>
    </row>
    <row r="120" spans="3:6">
      <c r="C120" t="str">
        <f t="shared" si="2"/>
        <v/>
      </c>
      <c r="D120" s="10" t="str">
        <f>IF(A120="","",SUMIFS('Sales Log'!$G$3:$G$2002,'Sales Log'!$A$3:$A$2002,A120))</f>
        <v/>
      </c>
      <c r="E120" s="10" t="str">
        <f>IF(A120="","",SUMIFS('Shop Expenses'!$D$3:$D$2002,'Shop Expenses'!$A$3:$A$2002,A120)+SUMIFS('Farm Costs'!$D$3:$D$2002,'Farm Costs'!$A$3:$A$2002,A120))</f>
        <v/>
      </c>
      <c r="F120" s="10" t="str">
        <f t="shared" si="3"/>
        <v/>
      </c>
    </row>
    <row r="121" spans="3:6">
      <c r="C121" t="str">
        <f t="shared" si="2"/>
        <v/>
      </c>
      <c r="D121" s="10" t="str">
        <f>IF(A121="","",SUMIFS('Sales Log'!$G$3:$G$2002,'Sales Log'!$A$3:$A$2002,A121))</f>
        <v/>
      </c>
      <c r="E121" s="10" t="str">
        <f>IF(A121="","",SUMIFS('Shop Expenses'!$D$3:$D$2002,'Shop Expenses'!$A$3:$A$2002,A121)+SUMIFS('Farm Costs'!$D$3:$D$2002,'Farm Costs'!$A$3:$A$2002,A121))</f>
        <v/>
      </c>
      <c r="F121" s="10" t="str">
        <f t="shared" si="3"/>
        <v/>
      </c>
    </row>
    <row r="122" spans="3:6">
      <c r="C122" t="str">
        <f t="shared" si="2"/>
        <v/>
      </c>
      <c r="D122" s="10" t="str">
        <f>IF(A122="","",SUMIFS('Sales Log'!$G$3:$G$2002,'Sales Log'!$A$3:$A$2002,A122))</f>
        <v/>
      </c>
      <c r="E122" s="10" t="str">
        <f>IF(A122="","",SUMIFS('Shop Expenses'!$D$3:$D$2002,'Shop Expenses'!$A$3:$A$2002,A122)+SUMIFS('Farm Costs'!$D$3:$D$2002,'Farm Costs'!$A$3:$A$2002,A122))</f>
        <v/>
      </c>
      <c r="F122" s="10" t="str">
        <f t="shared" si="3"/>
        <v/>
      </c>
    </row>
    <row r="123" spans="3:6">
      <c r="C123" t="str">
        <f t="shared" si="2"/>
        <v/>
      </c>
      <c r="D123" s="10" t="str">
        <f>IF(A123="","",SUMIFS('Sales Log'!$G$3:$G$2002,'Sales Log'!$A$3:$A$2002,A123))</f>
        <v/>
      </c>
      <c r="E123" s="10" t="str">
        <f>IF(A123="","",SUMIFS('Shop Expenses'!$D$3:$D$2002,'Shop Expenses'!$A$3:$A$2002,A123)+SUMIFS('Farm Costs'!$D$3:$D$2002,'Farm Costs'!$A$3:$A$2002,A123))</f>
        <v/>
      </c>
      <c r="F123" s="10" t="str">
        <f t="shared" si="3"/>
        <v/>
      </c>
    </row>
    <row r="124" spans="3:6">
      <c r="C124" t="str">
        <f t="shared" si="2"/>
        <v/>
      </c>
      <c r="D124" s="10" t="str">
        <f>IF(A124="","",SUMIFS('Sales Log'!$G$3:$G$2002,'Sales Log'!$A$3:$A$2002,A124))</f>
        <v/>
      </c>
      <c r="E124" s="10" t="str">
        <f>IF(A124="","",SUMIFS('Shop Expenses'!$D$3:$D$2002,'Shop Expenses'!$A$3:$A$2002,A124)+SUMIFS('Farm Costs'!$D$3:$D$2002,'Farm Costs'!$A$3:$A$2002,A124))</f>
        <v/>
      </c>
      <c r="F124" s="10" t="str">
        <f t="shared" si="3"/>
        <v/>
      </c>
    </row>
    <row r="125" spans="3:6">
      <c r="C125" t="str">
        <f t="shared" si="2"/>
        <v/>
      </c>
      <c r="D125" s="10" t="str">
        <f>IF(A125="","",SUMIFS('Sales Log'!$G$3:$G$2002,'Sales Log'!$A$3:$A$2002,A125))</f>
        <v/>
      </c>
      <c r="E125" s="10" t="str">
        <f>IF(A125="","",SUMIFS('Shop Expenses'!$D$3:$D$2002,'Shop Expenses'!$A$3:$A$2002,A125)+SUMIFS('Farm Costs'!$D$3:$D$2002,'Farm Costs'!$A$3:$A$2002,A125))</f>
        <v/>
      </c>
      <c r="F125" s="10" t="str">
        <f t="shared" si="3"/>
        <v/>
      </c>
    </row>
    <row r="126" spans="3:6">
      <c r="C126" t="str">
        <f t="shared" si="2"/>
        <v/>
      </c>
      <c r="D126" s="10" t="str">
        <f>IF(A126="","",SUMIFS('Sales Log'!$G$3:$G$2002,'Sales Log'!$A$3:$A$2002,A126))</f>
        <v/>
      </c>
      <c r="E126" s="10" t="str">
        <f>IF(A126="","",SUMIFS('Shop Expenses'!$D$3:$D$2002,'Shop Expenses'!$A$3:$A$2002,A126)+SUMIFS('Farm Costs'!$D$3:$D$2002,'Farm Costs'!$A$3:$A$2002,A126))</f>
        <v/>
      </c>
      <c r="F126" s="10" t="str">
        <f t="shared" si="3"/>
        <v/>
      </c>
    </row>
    <row r="127" spans="3:6">
      <c r="C127" t="str">
        <f t="shared" si="2"/>
        <v/>
      </c>
      <c r="D127" s="10" t="str">
        <f>IF(A127="","",SUMIFS('Sales Log'!$G$3:$G$2002,'Sales Log'!$A$3:$A$2002,A127))</f>
        <v/>
      </c>
      <c r="E127" s="10" t="str">
        <f>IF(A127="","",SUMIFS('Shop Expenses'!$D$3:$D$2002,'Shop Expenses'!$A$3:$A$2002,A127)+SUMIFS('Farm Costs'!$D$3:$D$2002,'Farm Costs'!$A$3:$A$2002,A127))</f>
        <v/>
      </c>
      <c r="F127" s="10" t="str">
        <f t="shared" si="3"/>
        <v/>
      </c>
    </row>
    <row r="128" spans="3:6">
      <c r="C128" t="str">
        <f t="shared" si="2"/>
        <v/>
      </c>
      <c r="D128" s="10" t="str">
        <f>IF(A128="","",SUMIFS('Sales Log'!$G$3:$G$2002,'Sales Log'!$A$3:$A$2002,A128))</f>
        <v/>
      </c>
      <c r="E128" s="10" t="str">
        <f>IF(A128="","",SUMIFS('Shop Expenses'!$D$3:$D$2002,'Shop Expenses'!$A$3:$A$2002,A128)+SUMIFS('Farm Costs'!$D$3:$D$2002,'Farm Costs'!$A$3:$A$2002,A128))</f>
        <v/>
      </c>
      <c r="F128" s="10" t="str">
        <f t="shared" si="3"/>
        <v/>
      </c>
    </row>
    <row r="129" spans="3:6">
      <c r="C129" t="str">
        <f t="shared" si="2"/>
        <v/>
      </c>
      <c r="D129" s="10" t="str">
        <f>IF(A129="","",SUMIFS('Sales Log'!$G$3:$G$2002,'Sales Log'!$A$3:$A$2002,A129))</f>
        <v/>
      </c>
      <c r="E129" s="10" t="str">
        <f>IF(A129="","",SUMIFS('Shop Expenses'!$D$3:$D$2002,'Shop Expenses'!$A$3:$A$2002,A129)+SUMIFS('Farm Costs'!$D$3:$D$2002,'Farm Costs'!$A$3:$A$2002,A129))</f>
        <v/>
      </c>
      <c r="F129" s="10" t="str">
        <f t="shared" si="3"/>
        <v/>
      </c>
    </row>
    <row r="130" spans="3:6">
      <c r="C130" t="str">
        <f t="shared" si="2"/>
        <v/>
      </c>
      <c r="D130" s="10" t="str">
        <f>IF(A130="","",SUMIFS('Sales Log'!$G$3:$G$2002,'Sales Log'!$A$3:$A$2002,A130))</f>
        <v/>
      </c>
      <c r="E130" s="10" t="str">
        <f>IF(A130="","",SUMIFS('Shop Expenses'!$D$3:$D$2002,'Shop Expenses'!$A$3:$A$2002,A130)+SUMIFS('Farm Costs'!$D$3:$D$2002,'Farm Costs'!$A$3:$A$2002,A130))</f>
        <v/>
      </c>
      <c r="F130" s="10" t="str">
        <f t="shared" si="3"/>
        <v/>
      </c>
    </row>
    <row r="131" spans="3:6">
      <c r="C131" t="str">
        <f t="shared" si="2"/>
        <v/>
      </c>
      <c r="D131" s="10" t="str">
        <f>IF(A131="","",SUMIFS('Sales Log'!$G$3:$G$2002,'Sales Log'!$A$3:$A$2002,A131))</f>
        <v/>
      </c>
      <c r="E131" s="10" t="str">
        <f>IF(A131="","",SUMIFS('Shop Expenses'!$D$3:$D$2002,'Shop Expenses'!$A$3:$A$2002,A131)+SUMIFS('Farm Costs'!$D$3:$D$2002,'Farm Costs'!$A$3:$A$2002,A131))</f>
        <v/>
      </c>
      <c r="F131" s="10" t="str">
        <f t="shared" si="3"/>
        <v/>
      </c>
    </row>
    <row r="132" spans="3:6">
      <c r="C132" t="str">
        <f t="shared" si="2"/>
        <v/>
      </c>
      <c r="D132" s="10" t="str">
        <f>IF(A132="","",SUMIFS('Sales Log'!$G$3:$G$2002,'Sales Log'!$A$3:$A$2002,A132))</f>
        <v/>
      </c>
      <c r="E132" s="10" t="str">
        <f>IF(A132="","",SUMIFS('Shop Expenses'!$D$3:$D$2002,'Shop Expenses'!$A$3:$A$2002,A132)+SUMIFS('Farm Costs'!$D$3:$D$2002,'Farm Costs'!$A$3:$A$2002,A132))</f>
        <v/>
      </c>
      <c r="F132" s="10" t="str">
        <f t="shared" si="3"/>
        <v/>
      </c>
    </row>
    <row r="133" spans="3:6">
      <c r="C133" t="str">
        <f t="shared" ref="C133:C196" si="4">IF(A133="","","Daily Sales")</f>
        <v/>
      </c>
      <c r="D133" s="10" t="str">
        <f>IF(A133="","",SUMIFS('Sales Log'!$G$3:$G$2002,'Sales Log'!$A$3:$A$2002,A133))</f>
        <v/>
      </c>
      <c r="E133" s="10" t="str">
        <f>IF(A133="","",SUMIFS('Shop Expenses'!$D$3:$D$2002,'Shop Expenses'!$A$3:$A$2002,A133)+SUMIFS('Farm Costs'!$D$3:$D$2002,'Farm Costs'!$A$3:$A$2002,A133))</f>
        <v/>
      </c>
      <c r="F133" s="10" t="str">
        <f t="shared" si="3"/>
        <v/>
      </c>
    </row>
    <row r="134" spans="3:6">
      <c r="C134" t="str">
        <f t="shared" si="4"/>
        <v/>
      </c>
      <c r="D134" s="10" t="str">
        <f>IF(A134="","",SUMIFS('Sales Log'!$G$3:$G$2002,'Sales Log'!$A$3:$A$2002,A134))</f>
        <v/>
      </c>
      <c r="E134" s="10" t="str">
        <f>IF(A134="","",SUMIFS('Shop Expenses'!$D$3:$D$2002,'Shop Expenses'!$A$3:$A$2002,A134)+SUMIFS('Farm Costs'!$D$3:$D$2002,'Farm Costs'!$A$3:$A$2002,A134))</f>
        <v/>
      </c>
      <c r="F134" s="10" t="str">
        <f t="shared" ref="F134:F197" si="5">IF(A134="","",F133+D134-E134)</f>
        <v/>
      </c>
    </row>
    <row r="135" spans="3:6">
      <c r="C135" t="str">
        <f t="shared" si="4"/>
        <v/>
      </c>
      <c r="D135" s="10" t="str">
        <f>IF(A135="","",SUMIFS('Sales Log'!$G$3:$G$2002,'Sales Log'!$A$3:$A$2002,A135))</f>
        <v/>
      </c>
      <c r="E135" s="10" t="str">
        <f>IF(A135="","",SUMIFS('Shop Expenses'!$D$3:$D$2002,'Shop Expenses'!$A$3:$A$2002,A135)+SUMIFS('Farm Costs'!$D$3:$D$2002,'Farm Costs'!$A$3:$A$2002,A135))</f>
        <v/>
      </c>
      <c r="F135" s="10" t="str">
        <f t="shared" si="5"/>
        <v/>
      </c>
    </row>
    <row r="136" spans="3:6">
      <c r="C136" t="str">
        <f t="shared" si="4"/>
        <v/>
      </c>
      <c r="D136" s="10" t="str">
        <f>IF(A136="","",SUMIFS('Sales Log'!$G$3:$G$2002,'Sales Log'!$A$3:$A$2002,A136))</f>
        <v/>
      </c>
      <c r="E136" s="10" t="str">
        <f>IF(A136="","",SUMIFS('Shop Expenses'!$D$3:$D$2002,'Shop Expenses'!$A$3:$A$2002,A136)+SUMIFS('Farm Costs'!$D$3:$D$2002,'Farm Costs'!$A$3:$A$2002,A136))</f>
        <v/>
      </c>
      <c r="F136" s="10" t="str">
        <f t="shared" si="5"/>
        <v/>
      </c>
    </row>
    <row r="137" spans="3:6">
      <c r="C137" t="str">
        <f t="shared" si="4"/>
        <v/>
      </c>
      <c r="D137" s="10" t="str">
        <f>IF(A137="","",SUMIFS('Sales Log'!$G$3:$G$2002,'Sales Log'!$A$3:$A$2002,A137))</f>
        <v/>
      </c>
      <c r="E137" s="10" t="str">
        <f>IF(A137="","",SUMIFS('Shop Expenses'!$D$3:$D$2002,'Shop Expenses'!$A$3:$A$2002,A137)+SUMIFS('Farm Costs'!$D$3:$D$2002,'Farm Costs'!$A$3:$A$2002,A137))</f>
        <v/>
      </c>
      <c r="F137" s="10" t="str">
        <f t="shared" si="5"/>
        <v/>
      </c>
    </row>
    <row r="138" spans="3:6">
      <c r="C138" t="str">
        <f t="shared" si="4"/>
        <v/>
      </c>
      <c r="D138" s="10" t="str">
        <f>IF(A138="","",SUMIFS('Sales Log'!$G$3:$G$2002,'Sales Log'!$A$3:$A$2002,A138))</f>
        <v/>
      </c>
      <c r="E138" s="10" t="str">
        <f>IF(A138="","",SUMIFS('Shop Expenses'!$D$3:$D$2002,'Shop Expenses'!$A$3:$A$2002,A138)+SUMIFS('Farm Costs'!$D$3:$D$2002,'Farm Costs'!$A$3:$A$2002,A138))</f>
        <v/>
      </c>
      <c r="F138" s="10" t="str">
        <f t="shared" si="5"/>
        <v/>
      </c>
    </row>
    <row r="139" spans="3:6">
      <c r="C139" t="str">
        <f t="shared" si="4"/>
        <v/>
      </c>
      <c r="D139" s="10" t="str">
        <f>IF(A139="","",SUMIFS('Sales Log'!$G$3:$G$2002,'Sales Log'!$A$3:$A$2002,A139))</f>
        <v/>
      </c>
      <c r="E139" s="10" t="str">
        <f>IF(A139="","",SUMIFS('Shop Expenses'!$D$3:$D$2002,'Shop Expenses'!$A$3:$A$2002,A139)+SUMIFS('Farm Costs'!$D$3:$D$2002,'Farm Costs'!$A$3:$A$2002,A139))</f>
        <v/>
      </c>
      <c r="F139" s="10" t="str">
        <f t="shared" si="5"/>
        <v/>
      </c>
    </row>
    <row r="140" spans="3:6">
      <c r="C140" t="str">
        <f t="shared" si="4"/>
        <v/>
      </c>
      <c r="D140" s="10" t="str">
        <f>IF(A140="","",SUMIFS('Sales Log'!$G$3:$G$2002,'Sales Log'!$A$3:$A$2002,A140))</f>
        <v/>
      </c>
      <c r="E140" s="10" t="str">
        <f>IF(A140="","",SUMIFS('Shop Expenses'!$D$3:$D$2002,'Shop Expenses'!$A$3:$A$2002,A140)+SUMIFS('Farm Costs'!$D$3:$D$2002,'Farm Costs'!$A$3:$A$2002,A140))</f>
        <v/>
      </c>
      <c r="F140" s="10" t="str">
        <f t="shared" si="5"/>
        <v/>
      </c>
    </row>
    <row r="141" spans="3:6">
      <c r="C141" t="str">
        <f t="shared" si="4"/>
        <v/>
      </c>
      <c r="D141" s="10" t="str">
        <f>IF(A141="","",SUMIFS('Sales Log'!$G$3:$G$2002,'Sales Log'!$A$3:$A$2002,A141))</f>
        <v/>
      </c>
      <c r="E141" s="10" t="str">
        <f>IF(A141="","",SUMIFS('Shop Expenses'!$D$3:$D$2002,'Shop Expenses'!$A$3:$A$2002,A141)+SUMIFS('Farm Costs'!$D$3:$D$2002,'Farm Costs'!$A$3:$A$2002,A141))</f>
        <v/>
      </c>
      <c r="F141" s="10" t="str">
        <f t="shared" si="5"/>
        <v/>
      </c>
    </row>
    <row r="142" spans="3:6">
      <c r="C142" t="str">
        <f t="shared" si="4"/>
        <v/>
      </c>
      <c r="D142" s="10" t="str">
        <f>IF(A142="","",SUMIFS('Sales Log'!$G$3:$G$2002,'Sales Log'!$A$3:$A$2002,A142))</f>
        <v/>
      </c>
      <c r="E142" s="10" t="str">
        <f>IF(A142="","",SUMIFS('Shop Expenses'!$D$3:$D$2002,'Shop Expenses'!$A$3:$A$2002,A142)+SUMIFS('Farm Costs'!$D$3:$D$2002,'Farm Costs'!$A$3:$A$2002,A142))</f>
        <v/>
      </c>
      <c r="F142" s="10" t="str">
        <f t="shared" si="5"/>
        <v/>
      </c>
    </row>
    <row r="143" spans="3:6">
      <c r="C143" t="str">
        <f t="shared" si="4"/>
        <v/>
      </c>
      <c r="D143" s="10" t="str">
        <f>IF(A143="","",SUMIFS('Sales Log'!$G$3:$G$2002,'Sales Log'!$A$3:$A$2002,A143))</f>
        <v/>
      </c>
      <c r="E143" s="10" t="str">
        <f>IF(A143="","",SUMIFS('Shop Expenses'!$D$3:$D$2002,'Shop Expenses'!$A$3:$A$2002,A143)+SUMIFS('Farm Costs'!$D$3:$D$2002,'Farm Costs'!$A$3:$A$2002,A143))</f>
        <v/>
      </c>
      <c r="F143" s="10" t="str">
        <f t="shared" si="5"/>
        <v/>
      </c>
    </row>
    <row r="144" spans="3:6">
      <c r="C144" t="str">
        <f t="shared" si="4"/>
        <v/>
      </c>
      <c r="D144" s="10" t="str">
        <f>IF(A144="","",SUMIFS('Sales Log'!$G$3:$G$2002,'Sales Log'!$A$3:$A$2002,A144))</f>
        <v/>
      </c>
      <c r="E144" s="10" t="str">
        <f>IF(A144="","",SUMIFS('Shop Expenses'!$D$3:$D$2002,'Shop Expenses'!$A$3:$A$2002,A144)+SUMIFS('Farm Costs'!$D$3:$D$2002,'Farm Costs'!$A$3:$A$2002,A144))</f>
        <v/>
      </c>
      <c r="F144" s="10" t="str">
        <f t="shared" si="5"/>
        <v/>
      </c>
    </row>
    <row r="145" spans="3:6">
      <c r="C145" t="str">
        <f t="shared" si="4"/>
        <v/>
      </c>
      <c r="D145" s="10" t="str">
        <f>IF(A145="","",SUMIFS('Sales Log'!$G$3:$G$2002,'Sales Log'!$A$3:$A$2002,A145))</f>
        <v/>
      </c>
      <c r="E145" s="10" t="str">
        <f>IF(A145="","",SUMIFS('Shop Expenses'!$D$3:$D$2002,'Shop Expenses'!$A$3:$A$2002,A145)+SUMIFS('Farm Costs'!$D$3:$D$2002,'Farm Costs'!$A$3:$A$2002,A145))</f>
        <v/>
      </c>
      <c r="F145" s="10" t="str">
        <f t="shared" si="5"/>
        <v/>
      </c>
    </row>
    <row r="146" spans="3:6">
      <c r="C146" t="str">
        <f t="shared" si="4"/>
        <v/>
      </c>
      <c r="D146" s="10" t="str">
        <f>IF(A146="","",SUMIFS('Sales Log'!$G$3:$G$2002,'Sales Log'!$A$3:$A$2002,A146))</f>
        <v/>
      </c>
      <c r="E146" s="10" t="str">
        <f>IF(A146="","",SUMIFS('Shop Expenses'!$D$3:$D$2002,'Shop Expenses'!$A$3:$A$2002,A146)+SUMIFS('Farm Costs'!$D$3:$D$2002,'Farm Costs'!$A$3:$A$2002,A146))</f>
        <v/>
      </c>
      <c r="F146" s="10" t="str">
        <f t="shared" si="5"/>
        <v/>
      </c>
    </row>
    <row r="147" spans="3:6">
      <c r="C147" t="str">
        <f t="shared" si="4"/>
        <v/>
      </c>
      <c r="D147" s="10" t="str">
        <f>IF(A147="","",SUMIFS('Sales Log'!$G$3:$G$2002,'Sales Log'!$A$3:$A$2002,A147))</f>
        <v/>
      </c>
      <c r="E147" s="10" t="str">
        <f>IF(A147="","",SUMIFS('Shop Expenses'!$D$3:$D$2002,'Shop Expenses'!$A$3:$A$2002,A147)+SUMIFS('Farm Costs'!$D$3:$D$2002,'Farm Costs'!$A$3:$A$2002,A147))</f>
        <v/>
      </c>
      <c r="F147" s="10" t="str">
        <f t="shared" si="5"/>
        <v/>
      </c>
    </row>
    <row r="148" spans="3:6">
      <c r="C148" t="str">
        <f t="shared" si="4"/>
        <v/>
      </c>
      <c r="D148" s="10" t="str">
        <f>IF(A148="","",SUMIFS('Sales Log'!$G$3:$G$2002,'Sales Log'!$A$3:$A$2002,A148))</f>
        <v/>
      </c>
      <c r="E148" s="10" t="str">
        <f>IF(A148="","",SUMIFS('Shop Expenses'!$D$3:$D$2002,'Shop Expenses'!$A$3:$A$2002,A148)+SUMIFS('Farm Costs'!$D$3:$D$2002,'Farm Costs'!$A$3:$A$2002,A148))</f>
        <v/>
      </c>
      <c r="F148" s="10" t="str">
        <f t="shared" si="5"/>
        <v/>
      </c>
    </row>
    <row r="149" spans="3:6">
      <c r="C149" t="str">
        <f t="shared" si="4"/>
        <v/>
      </c>
      <c r="D149" s="10" t="str">
        <f>IF(A149="","",SUMIFS('Sales Log'!$G$3:$G$2002,'Sales Log'!$A$3:$A$2002,A149))</f>
        <v/>
      </c>
      <c r="E149" s="10" t="str">
        <f>IF(A149="","",SUMIFS('Shop Expenses'!$D$3:$D$2002,'Shop Expenses'!$A$3:$A$2002,A149)+SUMIFS('Farm Costs'!$D$3:$D$2002,'Farm Costs'!$A$3:$A$2002,A149))</f>
        <v/>
      </c>
      <c r="F149" s="10" t="str">
        <f t="shared" si="5"/>
        <v/>
      </c>
    </row>
    <row r="150" spans="3:6">
      <c r="C150" t="str">
        <f t="shared" si="4"/>
        <v/>
      </c>
      <c r="D150" s="10" t="str">
        <f>IF(A150="","",SUMIFS('Sales Log'!$G$3:$G$2002,'Sales Log'!$A$3:$A$2002,A150))</f>
        <v/>
      </c>
      <c r="E150" s="10" t="str">
        <f>IF(A150="","",SUMIFS('Shop Expenses'!$D$3:$D$2002,'Shop Expenses'!$A$3:$A$2002,A150)+SUMIFS('Farm Costs'!$D$3:$D$2002,'Farm Costs'!$A$3:$A$2002,A150))</f>
        <v/>
      </c>
      <c r="F150" s="10" t="str">
        <f t="shared" si="5"/>
        <v/>
      </c>
    </row>
    <row r="151" spans="3:6">
      <c r="C151" t="str">
        <f t="shared" si="4"/>
        <v/>
      </c>
      <c r="D151" s="10" t="str">
        <f>IF(A151="","",SUMIFS('Sales Log'!$G$3:$G$2002,'Sales Log'!$A$3:$A$2002,A151))</f>
        <v/>
      </c>
      <c r="E151" s="10" t="str">
        <f>IF(A151="","",SUMIFS('Shop Expenses'!$D$3:$D$2002,'Shop Expenses'!$A$3:$A$2002,A151)+SUMIFS('Farm Costs'!$D$3:$D$2002,'Farm Costs'!$A$3:$A$2002,A151))</f>
        <v/>
      </c>
      <c r="F151" s="10" t="str">
        <f t="shared" si="5"/>
        <v/>
      </c>
    </row>
    <row r="152" spans="3:6">
      <c r="C152" t="str">
        <f t="shared" si="4"/>
        <v/>
      </c>
      <c r="D152" s="10" t="str">
        <f>IF(A152="","",SUMIFS('Sales Log'!$G$3:$G$2002,'Sales Log'!$A$3:$A$2002,A152))</f>
        <v/>
      </c>
      <c r="E152" s="10" t="str">
        <f>IF(A152="","",SUMIFS('Shop Expenses'!$D$3:$D$2002,'Shop Expenses'!$A$3:$A$2002,A152)+SUMIFS('Farm Costs'!$D$3:$D$2002,'Farm Costs'!$A$3:$A$2002,A152))</f>
        <v/>
      </c>
      <c r="F152" s="10" t="str">
        <f t="shared" si="5"/>
        <v/>
      </c>
    </row>
    <row r="153" spans="3:6">
      <c r="C153" t="str">
        <f t="shared" si="4"/>
        <v/>
      </c>
      <c r="D153" s="10" t="str">
        <f>IF(A153="","",SUMIFS('Sales Log'!$G$3:$G$2002,'Sales Log'!$A$3:$A$2002,A153))</f>
        <v/>
      </c>
      <c r="E153" s="10" t="str">
        <f>IF(A153="","",SUMIFS('Shop Expenses'!$D$3:$D$2002,'Shop Expenses'!$A$3:$A$2002,A153)+SUMIFS('Farm Costs'!$D$3:$D$2002,'Farm Costs'!$A$3:$A$2002,A153))</f>
        <v/>
      </c>
      <c r="F153" s="10" t="str">
        <f t="shared" si="5"/>
        <v/>
      </c>
    </row>
    <row r="154" spans="3:6">
      <c r="C154" t="str">
        <f t="shared" si="4"/>
        <v/>
      </c>
      <c r="D154" s="10" t="str">
        <f>IF(A154="","",SUMIFS('Sales Log'!$G$3:$G$2002,'Sales Log'!$A$3:$A$2002,A154))</f>
        <v/>
      </c>
      <c r="E154" s="10" t="str">
        <f>IF(A154="","",SUMIFS('Shop Expenses'!$D$3:$D$2002,'Shop Expenses'!$A$3:$A$2002,A154)+SUMIFS('Farm Costs'!$D$3:$D$2002,'Farm Costs'!$A$3:$A$2002,A154))</f>
        <v/>
      </c>
      <c r="F154" s="10" t="str">
        <f t="shared" si="5"/>
        <v/>
      </c>
    </row>
    <row r="155" spans="3:6">
      <c r="C155" t="str">
        <f t="shared" si="4"/>
        <v/>
      </c>
      <c r="D155" s="10" t="str">
        <f>IF(A155="","",SUMIFS('Sales Log'!$G$3:$G$2002,'Sales Log'!$A$3:$A$2002,A155))</f>
        <v/>
      </c>
      <c r="E155" s="10" t="str">
        <f>IF(A155="","",SUMIFS('Shop Expenses'!$D$3:$D$2002,'Shop Expenses'!$A$3:$A$2002,A155)+SUMIFS('Farm Costs'!$D$3:$D$2002,'Farm Costs'!$A$3:$A$2002,A155))</f>
        <v/>
      </c>
      <c r="F155" s="10" t="str">
        <f t="shared" si="5"/>
        <v/>
      </c>
    </row>
    <row r="156" spans="3:6">
      <c r="C156" t="str">
        <f t="shared" si="4"/>
        <v/>
      </c>
      <c r="D156" s="10" t="str">
        <f>IF(A156="","",SUMIFS('Sales Log'!$G$3:$G$2002,'Sales Log'!$A$3:$A$2002,A156))</f>
        <v/>
      </c>
      <c r="E156" s="10" t="str">
        <f>IF(A156="","",SUMIFS('Shop Expenses'!$D$3:$D$2002,'Shop Expenses'!$A$3:$A$2002,A156)+SUMIFS('Farm Costs'!$D$3:$D$2002,'Farm Costs'!$A$3:$A$2002,A156))</f>
        <v/>
      </c>
      <c r="F156" s="10" t="str">
        <f t="shared" si="5"/>
        <v/>
      </c>
    </row>
    <row r="157" spans="3:6">
      <c r="C157" t="str">
        <f t="shared" si="4"/>
        <v/>
      </c>
      <c r="D157" s="10" t="str">
        <f>IF(A157="","",SUMIFS('Sales Log'!$G$3:$G$2002,'Sales Log'!$A$3:$A$2002,A157))</f>
        <v/>
      </c>
      <c r="E157" s="10" t="str">
        <f>IF(A157="","",SUMIFS('Shop Expenses'!$D$3:$D$2002,'Shop Expenses'!$A$3:$A$2002,A157)+SUMIFS('Farm Costs'!$D$3:$D$2002,'Farm Costs'!$A$3:$A$2002,A157))</f>
        <v/>
      </c>
      <c r="F157" s="10" t="str">
        <f t="shared" si="5"/>
        <v/>
      </c>
    </row>
    <row r="158" spans="3:6">
      <c r="C158" t="str">
        <f t="shared" si="4"/>
        <v/>
      </c>
      <c r="D158" s="10" t="str">
        <f>IF(A158="","",SUMIFS('Sales Log'!$G$3:$G$2002,'Sales Log'!$A$3:$A$2002,A158))</f>
        <v/>
      </c>
      <c r="E158" s="10" t="str">
        <f>IF(A158="","",SUMIFS('Shop Expenses'!$D$3:$D$2002,'Shop Expenses'!$A$3:$A$2002,A158)+SUMIFS('Farm Costs'!$D$3:$D$2002,'Farm Costs'!$A$3:$A$2002,A158))</f>
        <v/>
      </c>
      <c r="F158" s="10" t="str">
        <f t="shared" si="5"/>
        <v/>
      </c>
    </row>
    <row r="159" spans="3:6">
      <c r="C159" t="str">
        <f t="shared" si="4"/>
        <v/>
      </c>
      <c r="D159" s="10" t="str">
        <f>IF(A159="","",SUMIFS('Sales Log'!$G$3:$G$2002,'Sales Log'!$A$3:$A$2002,A159))</f>
        <v/>
      </c>
      <c r="E159" s="10" t="str">
        <f>IF(A159="","",SUMIFS('Shop Expenses'!$D$3:$D$2002,'Shop Expenses'!$A$3:$A$2002,A159)+SUMIFS('Farm Costs'!$D$3:$D$2002,'Farm Costs'!$A$3:$A$2002,A159))</f>
        <v/>
      </c>
      <c r="F159" s="10" t="str">
        <f t="shared" si="5"/>
        <v/>
      </c>
    </row>
    <row r="160" spans="3:6">
      <c r="C160" t="str">
        <f t="shared" si="4"/>
        <v/>
      </c>
      <c r="D160" s="10" t="str">
        <f>IF(A160="","",SUMIFS('Sales Log'!$G$3:$G$2002,'Sales Log'!$A$3:$A$2002,A160))</f>
        <v/>
      </c>
      <c r="E160" s="10" t="str">
        <f>IF(A160="","",SUMIFS('Shop Expenses'!$D$3:$D$2002,'Shop Expenses'!$A$3:$A$2002,A160)+SUMIFS('Farm Costs'!$D$3:$D$2002,'Farm Costs'!$A$3:$A$2002,A160))</f>
        <v/>
      </c>
      <c r="F160" s="10" t="str">
        <f t="shared" si="5"/>
        <v/>
      </c>
    </row>
    <row r="161" spans="3:6">
      <c r="C161" t="str">
        <f t="shared" si="4"/>
        <v/>
      </c>
      <c r="D161" s="10" t="str">
        <f>IF(A161="","",SUMIFS('Sales Log'!$G$3:$G$2002,'Sales Log'!$A$3:$A$2002,A161))</f>
        <v/>
      </c>
      <c r="E161" s="10" t="str">
        <f>IF(A161="","",SUMIFS('Shop Expenses'!$D$3:$D$2002,'Shop Expenses'!$A$3:$A$2002,A161)+SUMIFS('Farm Costs'!$D$3:$D$2002,'Farm Costs'!$A$3:$A$2002,A161))</f>
        <v/>
      </c>
      <c r="F161" s="10" t="str">
        <f t="shared" si="5"/>
        <v/>
      </c>
    </row>
    <row r="162" spans="3:6">
      <c r="C162" t="str">
        <f t="shared" si="4"/>
        <v/>
      </c>
      <c r="D162" s="10" t="str">
        <f>IF(A162="","",SUMIFS('Sales Log'!$G$3:$G$2002,'Sales Log'!$A$3:$A$2002,A162))</f>
        <v/>
      </c>
      <c r="E162" s="10" t="str">
        <f>IF(A162="","",SUMIFS('Shop Expenses'!$D$3:$D$2002,'Shop Expenses'!$A$3:$A$2002,A162)+SUMIFS('Farm Costs'!$D$3:$D$2002,'Farm Costs'!$A$3:$A$2002,A162))</f>
        <v/>
      </c>
      <c r="F162" s="10" t="str">
        <f t="shared" si="5"/>
        <v/>
      </c>
    </row>
    <row r="163" spans="3:6">
      <c r="C163" t="str">
        <f t="shared" si="4"/>
        <v/>
      </c>
      <c r="D163" s="10" t="str">
        <f>IF(A163="","",SUMIFS('Sales Log'!$G$3:$G$2002,'Sales Log'!$A$3:$A$2002,A163))</f>
        <v/>
      </c>
      <c r="E163" s="10" t="str">
        <f>IF(A163="","",SUMIFS('Shop Expenses'!$D$3:$D$2002,'Shop Expenses'!$A$3:$A$2002,A163)+SUMIFS('Farm Costs'!$D$3:$D$2002,'Farm Costs'!$A$3:$A$2002,A163))</f>
        <v/>
      </c>
      <c r="F163" s="10" t="str">
        <f t="shared" si="5"/>
        <v/>
      </c>
    </row>
    <row r="164" spans="3:6">
      <c r="C164" t="str">
        <f t="shared" si="4"/>
        <v/>
      </c>
      <c r="D164" s="10" t="str">
        <f>IF(A164="","",SUMIFS('Sales Log'!$G$3:$G$2002,'Sales Log'!$A$3:$A$2002,A164))</f>
        <v/>
      </c>
      <c r="E164" s="10" t="str">
        <f>IF(A164="","",SUMIFS('Shop Expenses'!$D$3:$D$2002,'Shop Expenses'!$A$3:$A$2002,A164)+SUMIFS('Farm Costs'!$D$3:$D$2002,'Farm Costs'!$A$3:$A$2002,A164))</f>
        <v/>
      </c>
      <c r="F164" s="10" t="str">
        <f t="shared" si="5"/>
        <v/>
      </c>
    </row>
    <row r="165" spans="3:6">
      <c r="C165" t="str">
        <f t="shared" si="4"/>
        <v/>
      </c>
      <c r="D165" s="10" t="str">
        <f>IF(A165="","",SUMIFS('Sales Log'!$G$3:$G$2002,'Sales Log'!$A$3:$A$2002,A165))</f>
        <v/>
      </c>
      <c r="E165" s="10" t="str">
        <f>IF(A165="","",SUMIFS('Shop Expenses'!$D$3:$D$2002,'Shop Expenses'!$A$3:$A$2002,A165)+SUMIFS('Farm Costs'!$D$3:$D$2002,'Farm Costs'!$A$3:$A$2002,A165))</f>
        <v/>
      </c>
      <c r="F165" s="10" t="str">
        <f t="shared" si="5"/>
        <v/>
      </c>
    </row>
    <row r="166" spans="3:6">
      <c r="C166" t="str">
        <f t="shared" si="4"/>
        <v/>
      </c>
      <c r="D166" s="10" t="str">
        <f>IF(A166="","",SUMIFS('Sales Log'!$G$3:$G$2002,'Sales Log'!$A$3:$A$2002,A166))</f>
        <v/>
      </c>
      <c r="E166" s="10" t="str">
        <f>IF(A166="","",SUMIFS('Shop Expenses'!$D$3:$D$2002,'Shop Expenses'!$A$3:$A$2002,A166)+SUMIFS('Farm Costs'!$D$3:$D$2002,'Farm Costs'!$A$3:$A$2002,A166))</f>
        <v/>
      </c>
      <c r="F166" s="10" t="str">
        <f t="shared" si="5"/>
        <v/>
      </c>
    </row>
    <row r="167" spans="3:6">
      <c r="C167" t="str">
        <f t="shared" si="4"/>
        <v/>
      </c>
      <c r="D167" s="10" t="str">
        <f>IF(A167="","",SUMIFS('Sales Log'!$G$3:$G$2002,'Sales Log'!$A$3:$A$2002,A167))</f>
        <v/>
      </c>
      <c r="E167" s="10" t="str">
        <f>IF(A167="","",SUMIFS('Shop Expenses'!$D$3:$D$2002,'Shop Expenses'!$A$3:$A$2002,A167)+SUMIFS('Farm Costs'!$D$3:$D$2002,'Farm Costs'!$A$3:$A$2002,A167))</f>
        <v/>
      </c>
      <c r="F167" s="10" t="str">
        <f t="shared" si="5"/>
        <v/>
      </c>
    </row>
    <row r="168" spans="3:6">
      <c r="C168" t="str">
        <f t="shared" si="4"/>
        <v/>
      </c>
      <c r="D168" s="10" t="str">
        <f>IF(A168="","",SUMIFS('Sales Log'!$G$3:$G$2002,'Sales Log'!$A$3:$A$2002,A168))</f>
        <v/>
      </c>
      <c r="E168" s="10" t="str">
        <f>IF(A168="","",SUMIFS('Shop Expenses'!$D$3:$D$2002,'Shop Expenses'!$A$3:$A$2002,A168)+SUMIFS('Farm Costs'!$D$3:$D$2002,'Farm Costs'!$A$3:$A$2002,A168))</f>
        <v/>
      </c>
      <c r="F168" s="10" t="str">
        <f t="shared" si="5"/>
        <v/>
      </c>
    </row>
    <row r="169" spans="3:6">
      <c r="C169" t="str">
        <f t="shared" si="4"/>
        <v/>
      </c>
      <c r="D169" s="10" t="str">
        <f>IF(A169="","",SUMIFS('Sales Log'!$G$3:$G$2002,'Sales Log'!$A$3:$A$2002,A169))</f>
        <v/>
      </c>
      <c r="E169" s="10" t="str">
        <f>IF(A169="","",SUMIFS('Shop Expenses'!$D$3:$D$2002,'Shop Expenses'!$A$3:$A$2002,A169)+SUMIFS('Farm Costs'!$D$3:$D$2002,'Farm Costs'!$A$3:$A$2002,A169))</f>
        <v/>
      </c>
      <c r="F169" s="10" t="str">
        <f t="shared" si="5"/>
        <v/>
      </c>
    </row>
    <row r="170" spans="3:6">
      <c r="C170" t="str">
        <f t="shared" si="4"/>
        <v/>
      </c>
      <c r="D170" s="10" t="str">
        <f>IF(A170="","",SUMIFS('Sales Log'!$G$3:$G$2002,'Sales Log'!$A$3:$A$2002,A170))</f>
        <v/>
      </c>
      <c r="E170" s="10" t="str">
        <f>IF(A170="","",SUMIFS('Shop Expenses'!$D$3:$D$2002,'Shop Expenses'!$A$3:$A$2002,A170)+SUMIFS('Farm Costs'!$D$3:$D$2002,'Farm Costs'!$A$3:$A$2002,A170))</f>
        <v/>
      </c>
      <c r="F170" s="10" t="str">
        <f t="shared" si="5"/>
        <v/>
      </c>
    </row>
    <row r="171" spans="3:6">
      <c r="C171" t="str">
        <f t="shared" si="4"/>
        <v/>
      </c>
      <c r="D171" s="10" t="str">
        <f>IF(A171="","",SUMIFS('Sales Log'!$G$3:$G$2002,'Sales Log'!$A$3:$A$2002,A171))</f>
        <v/>
      </c>
      <c r="E171" s="10" t="str">
        <f>IF(A171="","",SUMIFS('Shop Expenses'!$D$3:$D$2002,'Shop Expenses'!$A$3:$A$2002,A171)+SUMIFS('Farm Costs'!$D$3:$D$2002,'Farm Costs'!$A$3:$A$2002,A171))</f>
        <v/>
      </c>
      <c r="F171" s="10" t="str">
        <f t="shared" si="5"/>
        <v/>
      </c>
    </row>
    <row r="172" spans="3:6">
      <c r="C172" t="str">
        <f t="shared" si="4"/>
        <v/>
      </c>
      <c r="D172" s="10" t="str">
        <f>IF(A172="","",SUMIFS('Sales Log'!$G$3:$G$2002,'Sales Log'!$A$3:$A$2002,A172))</f>
        <v/>
      </c>
      <c r="E172" s="10" t="str">
        <f>IF(A172="","",SUMIFS('Shop Expenses'!$D$3:$D$2002,'Shop Expenses'!$A$3:$A$2002,A172)+SUMIFS('Farm Costs'!$D$3:$D$2002,'Farm Costs'!$A$3:$A$2002,A172))</f>
        <v/>
      </c>
      <c r="F172" s="10" t="str">
        <f t="shared" si="5"/>
        <v/>
      </c>
    </row>
    <row r="173" spans="3:6">
      <c r="C173" t="str">
        <f t="shared" si="4"/>
        <v/>
      </c>
      <c r="D173" s="10" t="str">
        <f>IF(A173="","",SUMIFS('Sales Log'!$G$3:$G$2002,'Sales Log'!$A$3:$A$2002,A173))</f>
        <v/>
      </c>
      <c r="E173" s="10" t="str">
        <f>IF(A173="","",SUMIFS('Shop Expenses'!$D$3:$D$2002,'Shop Expenses'!$A$3:$A$2002,A173)+SUMIFS('Farm Costs'!$D$3:$D$2002,'Farm Costs'!$A$3:$A$2002,A173))</f>
        <v/>
      </c>
      <c r="F173" s="10" t="str">
        <f t="shared" si="5"/>
        <v/>
      </c>
    </row>
    <row r="174" spans="3:6">
      <c r="C174" t="str">
        <f t="shared" si="4"/>
        <v/>
      </c>
      <c r="D174" s="10" t="str">
        <f>IF(A174="","",SUMIFS('Sales Log'!$G$3:$G$2002,'Sales Log'!$A$3:$A$2002,A174))</f>
        <v/>
      </c>
      <c r="E174" s="10" t="str">
        <f>IF(A174="","",SUMIFS('Shop Expenses'!$D$3:$D$2002,'Shop Expenses'!$A$3:$A$2002,A174)+SUMIFS('Farm Costs'!$D$3:$D$2002,'Farm Costs'!$A$3:$A$2002,A174))</f>
        <v/>
      </c>
      <c r="F174" s="10" t="str">
        <f t="shared" si="5"/>
        <v/>
      </c>
    </row>
    <row r="175" spans="3:6">
      <c r="C175" t="str">
        <f t="shared" si="4"/>
        <v/>
      </c>
      <c r="D175" s="10" t="str">
        <f>IF(A175="","",SUMIFS('Sales Log'!$G$3:$G$2002,'Sales Log'!$A$3:$A$2002,A175))</f>
        <v/>
      </c>
      <c r="E175" s="10" t="str">
        <f>IF(A175="","",SUMIFS('Shop Expenses'!$D$3:$D$2002,'Shop Expenses'!$A$3:$A$2002,A175)+SUMIFS('Farm Costs'!$D$3:$D$2002,'Farm Costs'!$A$3:$A$2002,A175))</f>
        <v/>
      </c>
      <c r="F175" s="10" t="str">
        <f t="shared" si="5"/>
        <v/>
      </c>
    </row>
    <row r="176" spans="3:6">
      <c r="C176" t="str">
        <f t="shared" si="4"/>
        <v/>
      </c>
      <c r="D176" s="10" t="str">
        <f>IF(A176="","",SUMIFS('Sales Log'!$G$3:$G$2002,'Sales Log'!$A$3:$A$2002,A176))</f>
        <v/>
      </c>
      <c r="E176" s="10" t="str">
        <f>IF(A176="","",SUMIFS('Shop Expenses'!$D$3:$D$2002,'Shop Expenses'!$A$3:$A$2002,A176)+SUMIFS('Farm Costs'!$D$3:$D$2002,'Farm Costs'!$A$3:$A$2002,A176))</f>
        <v/>
      </c>
      <c r="F176" s="10" t="str">
        <f t="shared" si="5"/>
        <v/>
      </c>
    </row>
    <row r="177" spans="3:6">
      <c r="C177" t="str">
        <f t="shared" si="4"/>
        <v/>
      </c>
      <c r="D177" s="10" t="str">
        <f>IF(A177="","",SUMIFS('Sales Log'!$G$3:$G$2002,'Sales Log'!$A$3:$A$2002,A177))</f>
        <v/>
      </c>
      <c r="E177" s="10" t="str">
        <f>IF(A177="","",SUMIFS('Shop Expenses'!$D$3:$D$2002,'Shop Expenses'!$A$3:$A$2002,A177)+SUMIFS('Farm Costs'!$D$3:$D$2002,'Farm Costs'!$A$3:$A$2002,A177))</f>
        <v/>
      </c>
      <c r="F177" s="10" t="str">
        <f t="shared" si="5"/>
        <v/>
      </c>
    </row>
    <row r="178" spans="3:6">
      <c r="C178" t="str">
        <f t="shared" si="4"/>
        <v/>
      </c>
      <c r="D178" s="10" t="str">
        <f>IF(A178="","",SUMIFS('Sales Log'!$G$3:$G$2002,'Sales Log'!$A$3:$A$2002,A178))</f>
        <v/>
      </c>
      <c r="E178" s="10" t="str">
        <f>IF(A178="","",SUMIFS('Shop Expenses'!$D$3:$D$2002,'Shop Expenses'!$A$3:$A$2002,A178)+SUMIFS('Farm Costs'!$D$3:$D$2002,'Farm Costs'!$A$3:$A$2002,A178))</f>
        <v/>
      </c>
      <c r="F178" s="10" t="str">
        <f t="shared" si="5"/>
        <v/>
      </c>
    </row>
    <row r="179" spans="3:6">
      <c r="C179" t="str">
        <f t="shared" si="4"/>
        <v/>
      </c>
      <c r="D179" s="10" t="str">
        <f>IF(A179="","",SUMIFS('Sales Log'!$G$3:$G$2002,'Sales Log'!$A$3:$A$2002,A179))</f>
        <v/>
      </c>
      <c r="E179" s="10" t="str">
        <f>IF(A179="","",SUMIFS('Shop Expenses'!$D$3:$D$2002,'Shop Expenses'!$A$3:$A$2002,A179)+SUMIFS('Farm Costs'!$D$3:$D$2002,'Farm Costs'!$A$3:$A$2002,A179))</f>
        <v/>
      </c>
      <c r="F179" s="10" t="str">
        <f t="shared" si="5"/>
        <v/>
      </c>
    </row>
    <row r="180" spans="3:6">
      <c r="C180" t="str">
        <f t="shared" si="4"/>
        <v/>
      </c>
      <c r="D180" s="10" t="str">
        <f>IF(A180="","",SUMIFS('Sales Log'!$G$3:$G$2002,'Sales Log'!$A$3:$A$2002,A180))</f>
        <v/>
      </c>
      <c r="E180" s="10" t="str">
        <f>IF(A180="","",SUMIFS('Shop Expenses'!$D$3:$D$2002,'Shop Expenses'!$A$3:$A$2002,A180)+SUMIFS('Farm Costs'!$D$3:$D$2002,'Farm Costs'!$A$3:$A$2002,A180))</f>
        <v/>
      </c>
      <c r="F180" s="10" t="str">
        <f t="shared" si="5"/>
        <v/>
      </c>
    </row>
    <row r="181" spans="3:6">
      <c r="C181" t="str">
        <f t="shared" si="4"/>
        <v/>
      </c>
      <c r="D181" s="10" t="str">
        <f>IF(A181="","",SUMIFS('Sales Log'!$G$3:$G$2002,'Sales Log'!$A$3:$A$2002,A181))</f>
        <v/>
      </c>
      <c r="E181" s="10" t="str">
        <f>IF(A181="","",SUMIFS('Shop Expenses'!$D$3:$D$2002,'Shop Expenses'!$A$3:$A$2002,A181)+SUMIFS('Farm Costs'!$D$3:$D$2002,'Farm Costs'!$A$3:$A$2002,A181))</f>
        <v/>
      </c>
      <c r="F181" s="10" t="str">
        <f t="shared" si="5"/>
        <v/>
      </c>
    </row>
    <row r="182" spans="3:6">
      <c r="C182" t="str">
        <f t="shared" si="4"/>
        <v/>
      </c>
      <c r="D182" s="10" t="str">
        <f>IF(A182="","",SUMIFS('Sales Log'!$G$3:$G$2002,'Sales Log'!$A$3:$A$2002,A182))</f>
        <v/>
      </c>
      <c r="E182" s="10" t="str">
        <f>IF(A182="","",SUMIFS('Shop Expenses'!$D$3:$D$2002,'Shop Expenses'!$A$3:$A$2002,A182)+SUMIFS('Farm Costs'!$D$3:$D$2002,'Farm Costs'!$A$3:$A$2002,A182))</f>
        <v/>
      </c>
      <c r="F182" s="10" t="str">
        <f t="shared" si="5"/>
        <v/>
      </c>
    </row>
    <row r="183" spans="3:6">
      <c r="C183" t="str">
        <f t="shared" si="4"/>
        <v/>
      </c>
      <c r="D183" s="10" t="str">
        <f>IF(A183="","",SUMIFS('Sales Log'!$G$3:$G$2002,'Sales Log'!$A$3:$A$2002,A183))</f>
        <v/>
      </c>
      <c r="E183" s="10" t="str">
        <f>IF(A183="","",SUMIFS('Shop Expenses'!$D$3:$D$2002,'Shop Expenses'!$A$3:$A$2002,A183)+SUMIFS('Farm Costs'!$D$3:$D$2002,'Farm Costs'!$A$3:$A$2002,A183))</f>
        <v/>
      </c>
      <c r="F183" s="10" t="str">
        <f t="shared" si="5"/>
        <v/>
      </c>
    </row>
    <row r="184" spans="3:6">
      <c r="C184" t="str">
        <f t="shared" si="4"/>
        <v/>
      </c>
      <c r="D184" s="10" t="str">
        <f>IF(A184="","",SUMIFS('Sales Log'!$G$3:$G$2002,'Sales Log'!$A$3:$A$2002,A184))</f>
        <v/>
      </c>
      <c r="E184" s="10" t="str">
        <f>IF(A184="","",SUMIFS('Shop Expenses'!$D$3:$D$2002,'Shop Expenses'!$A$3:$A$2002,A184)+SUMIFS('Farm Costs'!$D$3:$D$2002,'Farm Costs'!$A$3:$A$2002,A184))</f>
        <v/>
      </c>
      <c r="F184" s="10" t="str">
        <f t="shared" si="5"/>
        <v/>
      </c>
    </row>
    <row r="185" spans="3:6">
      <c r="C185" t="str">
        <f t="shared" si="4"/>
        <v/>
      </c>
      <c r="D185" s="10" t="str">
        <f>IF(A185="","",SUMIFS('Sales Log'!$G$3:$G$2002,'Sales Log'!$A$3:$A$2002,A185))</f>
        <v/>
      </c>
      <c r="E185" s="10" t="str">
        <f>IF(A185="","",SUMIFS('Shop Expenses'!$D$3:$D$2002,'Shop Expenses'!$A$3:$A$2002,A185)+SUMIFS('Farm Costs'!$D$3:$D$2002,'Farm Costs'!$A$3:$A$2002,A185))</f>
        <v/>
      </c>
      <c r="F185" s="10" t="str">
        <f t="shared" si="5"/>
        <v/>
      </c>
    </row>
    <row r="186" spans="3:6">
      <c r="C186" t="str">
        <f t="shared" si="4"/>
        <v/>
      </c>
      <c r="D186" s="10" t="str">
        <f>IF(A186="","",SUMIFS('Sales Log'!$G$3:$G$2002,'Sales Log'!$A$3:$A$2002,A186))</f>
        <v/>
      </c>
      <c r="E186" s="10" t="str">
        <f>IF(A186="","",SUMIFS('Shop Expenses'!$D$3:$D$2002,'Shop Expenses'!$A$3:$A$2002,A186)+SUMIFS('Farm Costs'!$D$3:$D$2002,'Farm Costs'!$A$3:$A$2002,A186))</f>
        <v/>
      </c>
      <c r="F186" s="10" t="str">
        <f t="shared" si="5"/>
        <v/>
      </c>
    </row>
    <row r="187" spans="3:6">
      <c r="C187" t="str">
        <f t="shared" si="4"/>
        <v/>
      </c>
      <c r="D187" s="10" t="str">
        <f>IF(A187="","",SUMIFS('Sales Log'!$G$3:$G$2002,'Sales Log'!$A$3:$A$2002,A187))</f>
        <v/>
      </c>
      <c r="E187" s="10" t="str">
        <f>IF(A187="","",SUMIFS('Shop Expenses'!$D$3:$D$2002,'Shop Expenses'!$A$3:$A$2002,A187)+SUMIFS('Farm Costs'!$D$3:$D$2002,'Farm Costs'!$A$3:$A$2002,A187))</f>
        <v/>
      </c>
      <c r="F187" s="10" t="str">
        <f t="shared" si="5"/>
        <v/>
      </c>
    </row>
    <row r="188" spans="3:6">
      <c r="C188" t="str">
        <f t="shared" si="4"/>
        <v/>
      </c>
      <c r="D188" s="10" t="str">
        <f>IF(A188="","",SUMIFS('Sales Log'!$G$3:$G$2002,'Sales Log'!$A$3:$A$2002,A188))</f>
        <v/>
      </c>
      <c r="E188" s="10" t="str">
        <f>IF(A188="","",SUMIFS('Shop Expenses'!$D$3:$D$2002,'Shop Expenses'!$A$3:$A$2002,A188)+SUMIFS('Farm Costs'!$D$3:$D$2002,'Farm Costs'!$A$3:$A$2002,A188))</f>
        <v/>
      </c>
      <c r="F188" s="10" t="str">
        <f t="shared" si="5"/>
        <v/>
      </c>
    </row>
    <row r="189" spans="3:6">
      <c r="C189" t="str">
        <f t="shared" si="4"/>
        <v/>
      </c>
      <c r="D189" s="10" t="str">
        <f>IF(A189="","",SUMIFS('Sales Log'!$G$3:$G$2002,'Sales Log'!$A$3:$A$2002,A189))</f>
        <v/>
      </c>
      <c r="E189" s="10" t="str">
        <f>IF(A189="","",SUMIFS('Shop Expenses'!$D$3:$D$2002,'Shop Expenses'!$A$3:$A$2002,A189)+SUMIFS('Farm Costs'!$D$3:$D$2002,'Farm Costs'!$A$3:$A$2002,A189))</f>
        <v/>
      </c>
      <c r="F189" s="10" t="str">
        <f t="shared" si="5"/>
        <v/>
      </c>
    </row>
    <row r="190" spans="3:6">
      <c r="C190" t="str">
        <f t="shared" si="4"/>
        <v/>
      </c>
      <c r="D190" s="10" t="str">
        <f>IF(A190="","",SUMIFS('Sales Log'!$G$3:$G$2002,'Sales Log'!$A$3:$A$2002,A190))</f>
        <v/>
      </c>
      <c r="E190" s="10" t="str">
        <f>IF(A190="","",SUMIFS('Shop Expenses'!$D$3:$D$2002,'Shop Expenses'!$A$3:$A$2002,A190)+SUMIFS('Farm Costs'!$D$3:$D$2002,'Farm Costs'!$A$3:$A$2002,A190))</f>
        <v/>
      </c>
      <c r="F190" s="10" t="str">
        <f t="shared" si="5"/>
        <v/>
      </c>
    </row>
    <row r="191" spans="3:6">
      <c r="C191" t="str">
        <f t="shared" si="4"/>
        <v/>
      </c>
      <c r="D191" s="10" t="str">
        <f>IF(A191="","",SUMIFS('Sales Log'!$G$3:$G$2002,'Sales Log'!$A$3:$A$2002,A191))</f>
        <v/>
      </c>
      <c r="E191" s="10" t="str">
        <f>IF(A191="","",SUMIFS('Shop Expenses'!$D$3:$D$2002,'Shop Expenses'!$A$3:$A$2002,A191)+SUMIFS('Farm Costs'!$D$3:$D$2002,'Farm Costs'!$A$3:$A$2002,A191))</f>
        <v/>
      </c>
      <c r="F191" s="10" t="str">
        <f t="shared" si="5"/>
        <v/>
      </c>
    </row>
    <row r="192" spans="3:6">
      <c r="C192" t="str">
        <f t="shared" si="4"/>
        <v/>
      </c>
      <c r="D192" s="10" t="str">
        <f>IF(A192="","",SUMIFS('Sales Log'!$G$3:$G$2002,'Sales Log'!$A$3:$A$2002,A192))</f>
        <v/>
      </c>
      <c r="E192" s="10" t="str">
        <f>IF(A192="","",SUMIFS('Shop Expenses'!$D$3:$D$2002,'Shop Expenses'!$A$3:$A$2002,A192)+SUMIFS('Farm Costs'!$D$3:$D$2002,'Farm Costs'!$A$3:$A$2002,A192))</f>
        <v/>
      </c>
      <c r="F192" s="10" t="str">
        <f t="shared" si="5"/>
        <v/>
      </c>
    </row>
    <row r="193" spans="3:6">
      <c r="C193" t="str">
        <f t="shared" si="4"/>
        <v/>
      </c>
      <c r="D193" s="10" t="str">
        <f>IF(A193="","",SUMIFS('Sales Log'!$G$3:$G$2002,'Sales Log'!$A$3:$A$2002,A193))</f>
        <v/>
      </c>
      <c r="E193" s="10" t="str">
        <f>IF(A193="","",SUMIFS('Shop Expenses'!$D$3:$D$2002,'Shop Expenses'!$A$3:$A$2002,A193)+SUMIFS('Farm Costs'!$D$3:$D$2002,'Farm Costs'!$A$3:$A$2002,A193))</f>
        <v/>
      </c>
      <c r="F193" s="10" t="str">
        <f t="shared" si="5"/>
        <v/>
      </c>
    </row>
    <row r="194" spans="3:6">
      <c r="C194" t="str">
        <f t="shared" si="4"/>
        <v/>
      </c>
      <c r="D194" s="10" t="str">
        <f>IF(A194="","",SUMIFS('Sales Log'!$G$3:$G$2002,'Sales Log'!$A$3:$A$2002,A194))</f>
        <v/>
      </c>
      <c r="E194" s="10" t="str">
        <f>IF(A194="","",SUMIFS('Shop Expenses'!$D$3:$D$2002,'Shop Expenses'!$A$3:$A$2002,A194)+SUMIFS('Farm Costs'!$D$3:$D$2002,'Farm Costs'!$A$3:$A$2002,A194))</f>
        <v/>
      </c>
      <c r="F194" s="10" t="str">
        <f t="shared" si="5"/>
        <v/>
      </c>
    </row>
    <row r="195" spans="3:6">
      <c r="C195" t="str">
        <f t="shared" si="4"/>
        <v/>
      </c>
      <c r="D195" s="10" t="str">
        <f>IF(A195="","",SUMIFS('Sales Log'!$G$3:$G$2002,'Sales Log'!$A$3:$A$2002,A195))</f>
        <v/>
      </c>
      <c r="E195" s="10" t="str">
        <f>IF(A195="","",SUMIFS('Shop Expenses'!$D$3:$D$2002,'Shop Expenses'!$A$3:$A$2002,A195)+SUMIFS('Farm Costs'!$D$3:$D$2002,'Farm Costs'!$A$3:$A$2002,A195))</f>
        <v/>
      </c>
      <c r="F195" s="10" t="str">
        <f t="shared" si="5"/>
        <v/>
      </c>
    </row>
    <row r="196" spans="3:6">
      <c r="C196" t="str">
        <f t="shared" si="4"/>
        <v/>
      </c>
      <c r="D196" s="10" t="str">
        <f>IF(A196="","",SUMIFS('Sales Log'!$G$3:$G$2002,'Sales Log'!$A$3:$A$2002,A196))</f>
        <v/>
      </c>
      <c r="E196" s="10" t="str">
        <f>IF(A196="","",SUMIFS('Shop Expenses'!$D$3:$D$2002,'Shop Expenses'!$A$3:$A$2002,A196)+SUMIFS('Farm Costs'!$D$3:$D$2002,'Farm Costs'!$A$3:$A$2002,A196))</f>
        <v/>
      </c>
      <c r="F196" s="10" t="str">
        <f t="shared" si="5"/>
        <v/>
      </c>
    </row>
    <row r="197" spans="3:6">
      <c r="C197" t="str">
        <f t="shared" ref="C197:C260" si="6">IF(A197="","","Daily Sales")</f>
        <v/>
      </c>
      <c r="D197" s="10" t="str">
        <f>IF(A197="","",SUMIFS('Sales Log'!$G$3:$G$2002,'Sales Log'!$A$3:$A$2002,A197))</f>
        <v/>
      </c>
      <c r="E197" s="10" t="str">
        <f>IF(A197="","",SUMIFS('Shop Expenses'!$D$3:$D$2002,'Shop Expenses'!$A$3:$A$2002,A197)+SUMIFS('Farm Costs'!$D$3:$D$2002,'Farm Costs'!$A$3:$A$2002,A197))</f>
        <v/>
      </c>
      <c r="F197" s="10" t="str">
        <f t="shared" si="5"/>
        <v/>
      </c>
    </row>
    <row r="198" spans="3:6">
      <c r="C198" t="str">
        <f t="shared" si="6"/>
        <v/>
      </c>
      <c r="D198" s="10" t="str">
        <f>IF(A198="","",SUMIFS('Sales Log'!$G$3:$G$2002,'Sales Log'!$A$3:$A$2002,A198))</f>
        <v/>
      </c>
      <c r="E198" s="10" t="str">
        <f>IF(A198="","",SUMIFS('Shop Expenses'!$D$3:$D$2002,'Shop Expenses'!$A$3:$A$2002,A198)+SUMIFS('Farm Costs'!$D$3:$D$2002,'Farm Costs'!$A$3:$A$2002,A198))</f>
        <v/>
      </c>
      <c r="F198" s="10" t="str">
        <f t="shared" ref="F198:F261" si="7">IF(A198="","",F197+D198-E198)</f>
        <v/>
      </c>
    </row>
    <row r="199" spans="3:6">
      <c r="C199" t="str">
        <f t="shared" si="6"/>
        <v/>
      </c>
      <c r="D199" s="10" t="str">
        <f>IF(A199="","",SUMIFS('Sales Log'!$G$3:$G$2002,'Sales Log'!$A$3:$A$2002,A199))</f>
        <v/>
      </c>
      <c r="E199" s="10" t="str">
        <f>IF(A199="","",SUMIFS('Shop Expenses'!$D$3:$D$2002,'Shop Expenses'!$A$3:$A$2002,A199)+SUMIFS('Farm Costs'!$D$3:$D$2002,'Farm Costs'!$A$3:$A$2002,A199))</f>
        <v/>
      </c>
      <c r="F199" s="10" t="str">
        <f t="shared" si="7"/>
        <v/>
      </c>
    </row>
    <row r="200" spans="3:6">
      <c r="C200" t="str">
        <f t="shared" si="6"/>
        <v/>
      </c>
      <c r="D200" s="10" t="str">
        <f>IF(A200="","",SUMIFS('Sales Log'!$G$3:$G$2002,'Sales Log'!$A$3:$A$2002,A200))</f>
        <v/>
      </c>
      <c r="E200" s="10" t="str">
        <f>IF(A200="","",SUMIFS('Shop Expenses'!$D$3:$D$2002,'Shop Expenses'!$A$3:$A$2002,A200)+SUMIFS('Farm Costs'!$D$3:$D$2002,'Farm Costs'!$A$3:$A$2002,A200))</f>
        <v/>
      </c>
      <c r="F200" s="10" t="str">
        <f t="shared" si="7"/>
        <v/>
      </c>
    </row>
    <row r="201" spans="3:6">
      <c r="C201" t="str">
        <f t="shared" si="6"/>
        <v/>
      </c>
      <c r="D201" s="10" t="str">
        <f>IF(A201="","",SUMIFS('Sales Log'!$G$3:$G$2002,'Sales Log'!$A$3:$A$2002,A201))</f>
        <v/>
      </c>
      <c r="E201" s="10" t="str">
        <f>IF(A201="","",SUMIFS('Shop Expenses'!$D$3:$D$2002,'Shop Expenses'!$A$3:$A$2002,A201)+SUMIFS('Farm Costs'!$D$3:$D$2002,'Farm Costs'!$A$3:$A$2002,A201))</f>
        <v/>
      </c>
      <c r="F201" s="10" t="str">
        <f t="shared" si="7"/>
        <v/>
      </c>
    </row>
    <row r="202" spans="3:6">
      <c r="C202" t="str">
        <f t="shared" si="6"/>
        <v/>
      </c>
      <c r="D202" s="10" t="str">
        <f>IF(A202="","",SUMIFS('Sales Log'!$G$3:$G$2002,'Sales Log'!$A$3:$A$2002,A202))</f>
        <v/>
      </c>
      <c r="E202" s="10" t="str">
        <f>IF(A202="","",SUMIFS('Shop Expenses'!$D$3:$D$2002,'Shop Expenses'!$A$3:$A$2002,A202)+SUMIFS('Farm Costs'!$D$3:$D$2002,'Farm Costs'!$A$3:$A$2002,A202))</f>
        <v/>
      </c>
      <c r="F202" s="10" t="str">
        <f t="shared" si="7"/>
        <v/>
      </c>
    </row>
    <row r="203" spans="3:6">
      <c r="C203" t="str">
        <f t="shared" si="6"/>
        <v/>
      </c>
      <c r="D203" s="10" t="str">
        <f>IF(A203="","",SUMIFS('Sales Log'!$G$3:$G$2002,'Sales Log'!$A$3:$A$2002,A203))</f>
        <v/>
      </c>
      <c r="E203" s="10" t="str">
        <f>IF(A203="","",SUMIFS('Shop Expenses'!$D$3:$D$2002,'Shop Expenses'!$A$3:$A$2002,A203)+SUMIFS('Farm Costs'!$D$3:$D$2002,'Farm Costs'!$A$3:$A$2002,A203))</f>
        <v/>
      </c>
      <c r="F203" s="10" t="str">
        <f t="shared" si="7"/>
        <v/>
      </c>
    </row>
    <row r="204" spans="3:6">
      <c r="C204" t="str">
        <f t="shared" si="6"/>
        <v/>
      </c>
      <c r="D204" s="10" t="str">
        <f>IF(A204="","",SUMIFS('Sales Log'!$G$3:$G$2002,'Sales Log'!$A$3:$A$2002,A204))</f>
        <v/>
      </c>
      <c r="E204" s="10" t="str">
        <f>IF(A204="","",SUMIFS('Shop Expenses'!$D$3:$D$2002,'Shop Expenses'!$A$3:$A$2002,A204)+SUMIFS('Farm Costs'!$D$3:$D$2002,'Farm Costs'!$A$3:$A$2002,A204))</f>
        <v/>
      </c>
      <c r="F204" s="10" t="str">
        <f t="shared" si="7"/>
        <v/>
      </c>
    </row>
    <row r="205" spans="3:6">
      <c r="C205" t="str">
        <f t="shared" si="6"/>
        <v/>
      </c>
      <c r="D205" s="10" t="str">
        <f>IF(A205="","",SUMIFS('Sales Log'!$G$3:$G$2002,'Sales Log'!$A$3:$A$2002,A205))</f>
        <v/>
      </c>
      <c r="E205" s="10" t="str">
        <f>IF(A205="","",SUMIFS('Shop Expenses'!$D$3:$D$2002,'Shop Expenses'!$A$3:$A$2002,A205)+SUMIFS('Farm Costs'!$D$3:$D$2002,'Farm Costs'!$A$3:$A$2002,A205))</f>
        <v/>
      </c>
      <c r="F205" s="10" t="str">
        <f t="shared" si="7"/>
        <v/>
      </c>
    </row>
    <row r="206" spans="3:6">
      <c r="C206" t="str">
        <f t="shared" si="6"/>
        <v/>
      </c>
      <c r="D206" s="10" t="str">
        <f>IF(A206="","",SUMIFS('Sales Log'!$G$3:$G$2002,'Sales Log'!$A$3:$A$2002,A206))</f>
        <v/>
      </c>
      <c r="E206" s="10" t="str">
        <f>IF(A206="","",SUMIFS('Shop Expenses'!$D$3:$D$2002,'Shop Expenses'!$A$3:$A$2002,A206)+SUMIFS('Farm Costs'!$D$3:$D$2002,'Farm Costs'!$A$3:$A$2002,A206))</f>
        <v/>
      </c>
      <c r="F206" s="10" t="str">
        <f t="shared" si="7"/>
        <v/>
      </c>
    </row>
    <row r="207" spans="3:6">
      <c r="C207" t="str">
        <f t="shared" si="6"/>
        <v/>
      </c>
      <c r="D207" s="10" t="str">
        <f>IF(A207="","",SUMIFS('Sales Log'!$G$3:$G$2002,'Sales Log'!$A$3:$A$2002,A207))</f>
        <v/>
      </c>
      <c r="E207" s="10" t="str">
        <f>IF(A207="","",SUMIFS('Shop Expenses'!$D$3:$D$2002,'Shop Expenses'!$A$3:$A$2002,A207)+SUMIFS('Farm Costs'!$D$3:$D$2002,'Farm Costs'!$A$3:$A$2002,A207))</f>
        <v/>
      </c>
      <c r="F207" s="10" t="str">
        <f t="shared" si="7"/>
        <v/>
      </c>
    </row>
    <row r="208" spans="3:6">
      <c r="C208" t="str">
        <f t="shared" si="6"/>
        <v/>
      </c>
      <c r="D208" s="10" t="str">
        <f>IF(A208="","",SUMIFS('Sales Log'!$G$3:$G$2002,'Sales Log'!$A$3:$A$2002,A208))</f>
        <v/>
      </c>
      <c r="E208" s="10" t="str">
        <f>IF(A208="","",SUMIFS('Shop Expenses'!$D$3:$D$2002,'Shop Expenses'!$A$3:$A$2002,A208)+SUMIFS('Farm Costs'!$D$3:$D$2002,'Farm Costs'!$A$3:$A$2002,A208))</f>
        <v/>
      </c>
      <c r="F208" s="10" t="str">
        <f t="shared" si="7"/>
        <v/>
      </c>
    </row>
    <row r="209" spans="3:6">
      <c r="C209" t="str">
        <f t="shared" si="6"/>
        <v/>
      </c>
      <c r="D209" s="10" t="str">
        <f>IF(A209="","",SUMIFS('Sales Log'!$G$3:$G$2002,'Sales Log'!$A$3:$A$2002,A209))</f>
        <v/>
      </c>
      <c r="E209" s="10" t="str">
        <f>IF(A209="","",SUMIFS('Shop Expenses'!$D$3:$D$2002,'Shop Expenses'!$A$3:$A$2002,A209)+SUMIFS('Farm Costs'!$D$3:$D$2002,'Farm Costs'!$A$3:$A$2002,A209))</f>
        <v/>
      </c>
      <c r="F209" s="10" t="str">
        <f t="shared" si="7"/>
        <v/>
      </c>
    </row>
    <row r="210" spans="3:6">
      <c r="C210" t="str">
        <f t="shared" si="6"/>
        <v/>
      </c>
      <c r="D210" s="10" t="str">
        <f>IF(A210="","",SUMIFS('Sales Log'!$G$3:$G$2002,'Sales Log'!$A$3:$A$2002,A210))</f>
        <v/>
      </c>
      <c r="E210" s="10" t="str">
        <f>IF(A210="","",SUMIFS('Shop Expenses'!$D$3:$D$2002,'Shop Expenses'!$A$3:$A$2002,A210)+SUMIFS('Farm Costs'!$D$3:$D$2002,'Farm Costs'!$A$3:$A$2002,A210))</f>
        <v/>
      </c>
      <c r="F210" s="10" t="str">
        <f t="shared" si="7"/>
        <v/>
      </c>
    </row>
    <row r="211" spans="3:6">
      <c r="C211" t="str">
        <f t="shared" si="6"/>
        <v/>
      </c>
      <c r="D211" s="10" t="str">
        <f>IF(A211="","",SUMIFS('Sales Log'!$G$3:$G$2002,'Sales Log'!$A$3:$A$2002,A211))</f>
        <v/>
      </c>
      <c r="E211" s="10" t="str">
        <f>IF(A211="","",SUMIFS('Shop Expenses'!$D$3:$D$2002,'Shop Expenses'!$A$3:$A$2002,A211)+SUMIFS('Farm Costs'!$D$3:$D$2002,'Farm Costs'!$A$3:$A$2002,A211))</f>
        <v/>
      </c>
      <c r="F211" s="10" t="str">
        <f t="shared" si="7"/>
        <v/>
      </c>
    </row>
    <row r="212" spans="3:6">
      <c r="C212" t="str">
        <f t="shared" si="6"/>
        <v/>
      </c>
      <c r="D212" s="10" t="str">
        <f>IF(A212="","",SUMIFS('Sales Log'!$G$3:$G$2002,'Sales Log'!$A$3:$A$2002,A212))</f>
        <v/>
      </c>
      <c r="E212" s="10" t="str">
        <f>IF(A212="","",SUMIFS('Shop Expenses'!$D$3:$D$2002,'Shop Expenses'!$A$3:$A$2002,A212)+SUMIFS('Farm Costs'!$D$3:$D$2002,'Farm Costs'!$A$3:$A$2002,A212))</f>
        <v/>
      </c>
      <c r="F212" s="10" t="str">
        <f t="shared" si="7"/>
        <v/>
      </c>
    </row>
    <row r="213" spans="3:6">
      <c r="C213" t="str">
        <f t="shared" si="6"/>
        <v/>
      </c>
      <c r="D213" s="10" t="str">
        <f>IF(A213="","",SUMIFS('Sales Log'!$G$3:$G$2002,'Sales Log'!$A$3:$A$2002,A213))</f>
        <v/>
      </c>
      <c r="E213" s="10" t="str">
        <f>IF(A213="","",SUMIFS('Shop Expenses'!$D$3:$D$2002,'Shop Expenses'!$A$3:$A$2002,A213)+SUMIFS('Farm Costs'!$D$3:$D$2002,'Farm Costs'!$A$3:$A$2002,A213))</f>
        <v/>
      </c>
      <c r="F213" s="10" t="str">
        <f t="shared" si="7"/>
        <v/>
      </c>
    </row>
    <row r="214" spans="3:6">
      <c r="C214" t="str">
        <f t="shared" si="6"/>
        <v/>
      </c>
      <c r="D214" s="10" t="str">
        <f>IF(A214="","",SUMIFS('Sales Log'!$G$3:$G$2002,'Sales Log'!$A$3:$A$2002,A214))</f>
        <v/>
      </c>
      <c r="E214" s="10" t="str">
        <f>IF(A214="","",SUMIFS('Shop Expenses'!$D$3:$D$2002,'Shop Expenses'!$A$3:$A$2002,A214)+SUMIFS('Farm Costs'!$D$3:$D$2002,'Farm Costs'!$A$3:$A$2002,A214))</f>
        <v/>
      </c>
      <c r="F214" s="10" t="str">
        <f t="shared" si="7"/>
        <v/>
      </c>
    </row>
    <row r="215" spans="3:6">
      <c r="C215" t="str">
        <f t="shared" si="6"/>
        <v/>
      </c>
      <c r="D215" s="10" t="str">
        <f>IF(A215="","",SUMIFS('Sales Log'!$G$3:$G$2002,'Sales Log'!$A$3:$A$2002,A215))</f>
        <v/>
      </c>
      <c r="E215" s="10" t="str">
        <f>IF(A215="","",SUMIFS('Shop Expenses'!$D$3:$D$2002,'Shop Expenses'!$A$3:$A$2002,A215)+SUMIFS('Farm Costs'!$D$3:$D$2002,'Farm Costs'!$A$3:$A$2002,A215))</f>
        <v/>
      </c>
      <c r="F215" s="10" t="str">
        <f t="shared" si="7"/>
        <v/>
      </c>
    </row>
    <row r="216" spans="3:6">
      <c r="C216" t="str">
        <f t="shared" si="6"/>
        <v/>
      </c>
      <c r="D216" s="10" t="str">
        <f>IF(A216="","",SUMIFS('Sales Log'!$G$3:$G$2002,'Sales Log'!$A$3:$A$2002,A216))</f>
        <v/>
      </c>
      <c r="E216" s="10" t="str">
        <f>IF(A216="","",SUMIFS('Shop Expenses'!$D$3:$D$2002,'Shop Expenses'!$A$3:$A$2002,A216)+SUMIFS('Farm Costs'!$D$3:$D$2002,'Farm Costs'!$A$3:$A$2002,A216))</f>
        <v/>
      </c>
      <c r="F216" s="10" t="str">
        <f t="shared" si="7"/>
        <v/>
      </c>
    </row>
    <row r="217" spans="3:6">
      <c r="C217" t="str">
        <f t="shared" si="6"/>
        <v/>
      </c>
      <c r="D217" s="10" t="str">
        <f>IF(A217="","",SUMIFS('Sales Log'!$G$3:$G$2002,'Sales Log'!$A$3:$A$2002,A217))</f>
        <v/>
      </c>
      <c r="E217" s="10" t="str">
        <f>IF(A217="","",SUMIFS('Shop Expenses'!$D$3:$D$2002,'Shop Expenses'!$A$3:$A$2002,A217)+SUMIFS('Farm Costs'!$D$3:$D$2002,'Farm Costs'!$A$3:$A$2002,A217))</f>
        <v/>
      </c>
      <c r="F217" s="10" t="str">
        <f t="shared" si="7"/>
        <v/>
      </c>
    </row>
    <row r="218" spans="3:6">
      <c r="C218" t="str">
        <f t="shared" si="6"/>
        <v/>
      </c>
      <c r="D218" s="10" t="str">
        <f>IF(A218="","",SUMIFS('Sales Log'!$G$3:$G$2002,'Sales Log'!$A$3:$A$2002,A218))</f>
        <v/>
      </c>
      <c r="E218" s="10" t="str">
        <f>IF(A218="","",SUMIFS('Shop Expenses'!$D$3:$D$2002,'Shop Expenses'!$A$3:$A$2002,A218)+SUMIFS('Farm Costs'!$D$3:$D$2002,'Farm Costs'!$A$3:$A$2002,A218))</f>
        <v/>
      </c>
      <c r="F218" s="10" t="str">
        <f t="shared" si="7"/>
        <v/>
      </c>
    </row>
    <row r="219" spans="3:6">
      <c r="C219" t="str">
        <f t="shared" si="6"/>
        <v/>
      </c>
      <c r="D219" s="10" t="str">
        <f>IF(A219="","",SUMIFS('Sales Log'!$G$3:$G$2002,'Sales Log'!$A$3:$A$2002,A219))</f>
        <v/>
      </c>
      <c r="E219" s="10" t="str">
        <f>IF(A219="","",SUMIFS('Shop Expenses'!$D$3:$D$2002,'Shop Expenses'!$A$3:$A$2002,A219)+SUMIFS('Farm Costs'!$D$3:$D$2002,'Farm Costs'!$A$3:$A$2002,A219))</f>
        <v/>
      </c>
      <c r="F219" s="10" t="str">
        <f t="shared" si="7"/>
        <v/>
      </c>
    </row>
    <row r="220" spans="3:6">
      <c r="C220" t="str">
        <f t="shared" si="6"/>
        <v/>
      </c>
      <c r="D220" s="10" t="str">
        <f>IF(A220="","",SUMIFS('Sales Log'!$G$3:$G$2002,'Sales Log'!$A$3:$A$2002,A220))</f>
        <v/>
      </c>
      <c r="E220" s="10" t="str">
        <f>IF(A220="","",SUMIFS('Shop Expenses'!$D$3:$D$2002,'Shop Expenses'!$A$3:$A$2002,A220)+SUMIFS('Farm Costs'!$D$3:$D$2002,'Farm Costs'!$A$3:$A$2002,A220))</f>
        <v/>
      </c>
      <c r="F220" s="10" t="str">
        <f t="shared" si="7"/>
        <v/>
      </c>
    </row>
    <row r="221" spans="3:6">
      <c r="C221" t="str">
        <f t="shared" si="6"/>
        <v/>
      </c>
      <c r="D221" s="10" t="str">
        <f>IF(A221="","",SUMIFS('Sales Log'!$G$3:$G$2002,'Sales Log'!$A$3:$A$2002,A221))</f>
        <v/>
      </c>
      <c r="E221" s="10" t="str">
        <f>IF(A221="","",SUMIFS('Shop Expenses'!$D$3:$D$2002,'Shop Expenses'!$A$3:$A$2002,A221)+SUMIFS('Farm Costs'!$D$3:$D$2002,'Farm Costs'!$A$3:$A$2002,A221))</f>
        <v/>
      </c>
      <c r="F221" s="10" t="str">
        <f t="shared" si="7"/>
        <v/>
      </c>
    </row>
    <row r="222" spans="3:6">
      <c r="C222" t="str">
        <f t="shared" si="6"/>
        <v/>
      </c>
      <c r="D222" s="10" t="str">
        <f>IF(A222="","",SUMIFS('Sales Log'!$G$3:$G$2002,'Sales Log'!$A$3:$A$2002,A222))</f>
        <v/>
      </c>
      <c r="E222" s="10" t="str">
        <f>IF(A222="","",SUMIFS('Shop Expenses'!$D$3:$D$2002,'Shop Expenses'!$A$3:$A$2002,A222)+SUMIFS('Farm Costs'!$D$3:$D$2002,'Farm Costs'!$A$3:$A$2002,A222))</f>
        <v/>
      </c>
      <c r="F222" s="10" t="str">
        <f t="shared" si="7"/>
        <v/>
      </c>
    </row>
    <row r="223" spans="3:6">
      <c r="C223" t="str">
        <f t="shared" si="6"/>
        <v/>
      </c>
      <c r="D223" s="10" t="str">
        <f>IF(A223="","",SUMIFS('Sales Log'!$G$3:$G$2002,'Sales Log'!$A$3:$A$2002,A223))</f>
        <v/>
      </c>
      <c r="E223" s="10" t="str">
        <f>IF(A223="","",SUMIFS('Shop Expenses'!$D$3:$D$2002,'Shop Expenses'!$A$3:$A$2002,A223)+SUMIFS('Farm Costs'!$D$3:$D$2002,'Farm Costs'!$A$3:$A$2002,A223))</f>
        <v/>
      </c>
      <c r="F223" s="10" t="str">
        <f t="shared" si="7"/>
        <v/>
      </c>
    </row>
    <row r="224" spans="3:6">
      <c r="C224" t="str">
        <f t="shared" si="6"/>
        <v/>
      </c>
      <c r="D224" s="10" t="str">
        <f>IF(A224="","",SUMIFS('Sales Log'!$G$3:$G$2002,'Sales Log'!$A$3:$A$2002,A224))</f>
        <v/>
      </c>
      <c r="E224" s="10" t="str">
        <f>IF(A224="","",SUMIFS('Shop Expenses'!$D$3:$D$2002,'Shop Expenses'!$A$3:$A$2002,A224)+SUMIFS('Farm Costs'!$D$3:$D$2002,'Farm Costs'!$A$3:$A$2002,A224))</f>
        <v/>
      </c>
      <c r="F224" s="10" t="str">
        <f t="shared" si="7"/>
        <v/>
      </c>
    </row>
    <row r="225" spans="3:6">
      <c r="C225" t="str">
        <f t="shared" si="6"/>
        <v/>
      </c>
      <c r="D225" s="10" t="str">
        <f>IF(A225="","",SUMIFS('Sales Log'!$G$3:$G$2002,'Sales Log'!$A$3:$A$2002,A225))</f>
        <v/>
      </c>
      <c r="E225" s="10" t="str">
        <f>IF(A225="","",SUMIFS('Shop Expenses'!$D$3:$D$2002,'Shop Expenses'!$A$3:$A$2002,A225)+SUMIFS('Farm Costs'!$D$3:$D$2002,'Farm Costs'!$A$3:$A$2002,A225))</f>
        <v/>
      </c>
      <c r="F225" s="10" t="str">
        <f t="shared" si="7"/>
        <v/>
      </c>
    </row>
    <row r="226" spans="3:6">
      <c r="C226" t="str">
        <f t="shared" si="6"/>
        <v/>
      </c>
      <c r="D226" s="10" t="str">
        <f>IF(A226="","",SUMIFS('Sales Log'!$G$3:$G$2002,'Sales Log'!$A$3:$A$2002,A226))</f>
        <v/>
      </c>
      <c r="E226" s="10" t="str">
        <f>IF(A226="","",SUMIFS('Shop Expenses'!$D$3:$D$2002,'Shop Expenses'!$A$3:$A$2002,A226)+SUMIFS('Farm Costs'!$D$3:$D$2002,'Farm Costs'!$A$3:$A$2002,A226))</f>
        <v/>
      </c>
      <c r="F226" s="10" t="str">
        <f t="shared" si="7"/>
        <v/>
      </c>
    </row>
    <row r="227" spans="3:6">
      <c r="C227" t="str">
        <f t="shared" si="6"/>
        <v/>
      </c>
      <c r="D227" s="10" t="str">
        <f>IF(A227="","",SUMIFS('Sales Log'!$G$3:$G$2002,'Sales Log'!$A$3:$A$2002,A227))</f>
        <v/>
      </c>
      <c r="E227" s="10" t="str">
        <f>IF(A227="","",SUMIFS('Shop Expenses'!$D$3:$D$2002,'Shop Expenses'!$A$3:$A$2002,A227)+SUMIFS('Farm Costs'!$D$3:$D$2002,'Farm Costs'!$A$3:$A$2002,A227))</f>
        <v/>
      </c>
      <c r="F227" s="10" t="str">
        <f t="shared" si="7"/>
        <v/>
      </c>
    </row>
    <row r="228" spans="3:6">
      <c r="C228" t="str">
        <f t="shared" si="6"/>
        <v/>
      </c>
      <c r="D228" s="10" t="str">
        <f>IF(A228="","",SUMIFS('Sales Log'!$G$3:$G$2002,'Sales Log'!$A$3:$A$2002,A228))</f>
        <v/>
      </c>
      <c r="E228" s="10" t="str">
        <f>IF(A228="","",SUMIFS('Shop Expenses'!$D$3:$D$2002,'Shop Expenses'!$A$3:$A$2002,A228)+SUMIFS('Farm Costs'!$D$3:$D$2002,'Farm Costs'!$A$3:$A$2002,A228))</f>
        <v/>
      </c>
      <c r="F228" s="10" t="str">
        <f t="shared" si="7"/>
        <v/>
      </c>
    </row>
    <row r="229" spans="3:6">
      <c r="C229" t="str">
        <f t="shared" si="6"/>
        <v/>
      </c>
      <c r="D229" s="10" t="str">
        <f>IF(A229="","",SUMIFS('Sales Log'!$G$3:$G$2002,'Sales Log'!$A$3:$A$2002,A229))</f>
        <v/>
      </c>
      <c r="E229" s="10" t="str">
        <f>IF(A229="","",SUMIFS('Shop Expenses'!$D$3:$D$2002,'Shop Expenses'!$A$3:$A$2002,A229)+SUMIFS('Farm Costs'!$D$3:$D$2002,'Farm Costs'!$A$3:$A$2002,A229))</f>
        <v/>
      </c>
      <c r="F229" s="10" t="str">
        <f t="shared" si="7"/>
        <v/>
      </c>
    </row>
    <row r="230" spans="3:6">
      <c r="C230" t="str">
        <f t="shared" si="6"/>
        <v/>
      </c>
      <c r="D230" s="10" t="str">
        <f>IF(A230="","",SUMIFS('Sales Log'!$G$3:$G$2002,'Sales Log'!$A$3:$A$2002,A230))</f>
        <v/>
      </c>
      <c r="E230" s="10" t="str">
        <f>IF(A230="","",SUMIFS('Shop Expenses'!$D$3:$D$2002,'Shop Expenses'!$A$3:$A$2002,A230)+SUMIFS('Farm Costs'!$D$3:$D$2002,'Farm Costs'!$A$3:$A$2002,A230))</f>
        <v/>
      </c>
      <c r="F230" s="10" t="str">
        <f t="shared" si="7"/>
        <v/>
      </c>
    </row>
    <row r="231" spans="3:6">
      <c r="C231" t="str">
        <f t="shared" si="6"/>
        <v/>
      </c>
      <c r="D231" s="10" t="str">
        <f>IF(A231="","",SUMIFS('Sales Log'!$G$3:$G$2002,'Sales Log'!$A$3:$A$2002,A231))</f>
        <v/>
      </c>
      <c r="E231" s="10" t="str">
        <f>IF(A231="","",SUMIFS('Shop Expenses'!$D$3:$D$2002,'Shop Expenses'!$A$3:$A$2002,A231)+SUMIFS('Farm Costs'!$D$3:$D$2002,'Farm Costs'!$A$3:$A$2002,A231))</f>
        <v/>
      </c>
      <c r="F231" s="10" t="str">
        <f t="shared" si="7"/>
        <v/>
      </c>
    </row>
    <row r="232" spans="3:6">
      <c r="C232" t="str">
        <f t="shared" si="6"/>
        <v/>
      </c>
      <c r="D232" s="10" t="str">
        <f>IF(A232="","",SUMIFS('Sales Log'!$G$3:$G$2002,'Sales Log'!$A$3:$A$2002,A232))</f>
        <v/>
      </c>
      <c r="E232" s="10" t="str">
        <f>IF(A232="","",SUMIFS('Shop Expenses'!$D$3:$D$2002,'Shop Expenses'!$A$3:$A$2002,A232)+SUMIFS('Farm Costs'!$D$3:$D$2002,'Farm Costs'!$A$3:$A$2002,A232))</f>
        <v/>
      </c>
      <c r="F232" s="10" t="str">
        <f t="shared" si="7"/>
        <v/>
      </c>
    </row>
    <row r="233" spans="3:6">
      <c r="C233" t="str">
        <f t="shared" si="6"/>
        <v/>
      </c>
      <c r="D233" s="10" t="str">
        <f>IF(A233="","",SUMIFS('Sales Log'!$G$3:$G$2002,'Sales Log'!$A$3:$A$2002,A233))</f>
        <v/>
      </c>
      <c r="E233" s="10" t="str">
        <f>IF(A233="","",SUMIFS('Shop Expenses'!$D$3:$D$2002,'Shop Expenses'!$A$3:$A$2002,A233)+SUMIFS('Farm Costs'!$D$3:$D$2002,'Farm Costs'!$A$3:$A$2002,A233))</f>
        <v/>
      </c>
      <c r="F233" s="10" t="str">
        <f t="shared" si="7"/>
        <v/>
      </c>
    </row>
    <row r="234" spans="3:6">
      <c r="C234" t="str">
        <f t="shared" si="6"/>
        <v/>
      </c>
      <c r="D234" s="10" t="str">
        <f>IF(A234="","",SUMIFS('Sales Log'!$G$3:$G$2002,'Sales Log'!$A$3:$A$2002,A234))</f>
        <v/>
      </c>
      <c r="E234" s="10" t="str">
        <f>IF(A234="","",SUMIFS('Shop Expenses'!$D$3:$D$2002,'Shop Expenses'!$A$3:$A$2002,A234)+SUMIFS('Farm Costs'!$D$3:$D$2002,'Farm Costs'!$A$3:$A$2002,A234))</f>
        <v/>
      </c>
      <c r="F234" s="10" t="str">
        <f t="shared" si="7"/>
        <v/>
      </c>
    </row>
    <row r="235" spans="3:6">
      <c r="C235" t="str">
        <f t="shared" si="6"/>
        <v/>
      </c>
      <c r="D235" s="10" t="str">
        <f>IF(A235="","",SUMIFS('Sales Log'!$G$3:$G$2002,'Sales Log'!$A$3:$A$2002,A235))</f>
        <v/>
      </c>
      <c r="E235" s="10" t="str">
        <f>IF(A235="","",SUMIFS('Shop Expenses'!$D$3:$D$2002,'Shop Expenses'!$A$3:$A$2002,A235)+SUMIFS('Farm Costs'!$D$3:$D$2002,'Farm Costs'!$A$3:$A$2002,A235))</f>
        <v/>
      </c>
      <c r="F235" s="10" t="str">
        <f t="shared" si="7"/>
        <v/>
      </c>
    </row>
    <row r="236" spans="3:6">
      <c r="C236" t="str">
        <f t="shared" si="6"/>
        <v/>
      </c>
      <c r="D236" s="10" t="str">
        <f>IF(A236="","",SUMIFS('Sales Log'!$G$3:$G$2002,'Sales Log'!$A$3:$A$2002,A236))</f>
        <v/>
      </c>
      <c r="E236" s="10" t="str">
        <f>IF(A236="","",SUMIFS('Shop Expenses'!$D$3:$D$2002,'Shop Expenses'!$A$3:$A$2002,A236)+SUMIFS('Farm Costs'!$D$3:$D$2002,'Farm Costs'!$A$3:$A$2002,A236))</f>
        <v/>
      </c>
      <c r="F236" s="10" t="str">
        <f t="shared" si="7"/>
        <v/>
      </c>
    </row>
    <row r="237" spans="3:6">
      <c r="C237" t="str">
        <f t="shared" si="6"/>
        <v/>
      </c>
      <c r="D237" s="10" t="str">
        <f>IF(A237="","",SUMIFS('Sales Log'!$G$3:$G$2002,'Sales Log'!$A$3:$A$2002,A237))</f>
        <v/>
      </c>
      <c r="E237" s="10" t="str">
        <f>IF(A237="","",SUMIFS('Shop Expenses'!$D$3:$D$2002,'Shop Expenses'!$A$3:$A$2002,A237)+SUMIFS('Farm Costs'!$D$3:$D$2002,'Farm Costs'!$A$3:$A$2002,A237))</f>
        <v/>
      </c>
      <c r="F237" s="10" t="str">
        <f t="shared" si="7"/>
        <v/>
      </c>
    </row>
    <row r="238" spans="3:6">
      <c r="C238" t="str">
        <f t="shared" si="6"/>
        <v/>
      </c>
      <c r="D238" s="10" t="str">
        <f>IF(A238="","",SUMIFS('Sales Log'!$G$3:$G$2002,'Sales Log'!$A$3:$A$2002,A238))</f>
        <v/>
      </c>
      <c r="E238" s="10" t="str">
        <f>IF(A238="","",SUMIFS('Shop Expenses'!$D$3:$D$2002,'Shop Expenses'!$A$3:$A$2002,A238)+SUMIFS('Farm Costs'!$D$3:$D$2002,'Farm Costs'!$A$3:$A$2002,A238))</f>
        <v/>
      </c>
      <c r="F238" s="10" t="str">
        <f t="shared" si="7"/>
        <v/>
      </c>
    </row>
    <row r="239" spans="3:6">
      <c r="C239" t="str">
        <f t="shared" si="6"/>
        <v/>
      </c>
      <c r="D239" s="10" t="str">
        <f>IF(A239="","",SUMIFS('Sales Log'!$G$3:$G$2002,'Sales Log'!$A$3:$A$2002,A239))</f>
        <v/>
      </c>
      <c r="E239" s="10" t="str">
        <f>IF(A239="","",SUMIFS('Shop Expenses'!$D$3:$D$2002,'Shop Expenses'!$A$3:$A$2002,A239)+SUMIFS('Farm Costs'!$D$3:$D$2002,'Farm Costs'!$A$3:$A$2002,A239))</f>
        <v/>
      </c>
      <c r="F239" s="10" t="str">
        <f t="shared" si="7"/>
        <v/>
      </c>
    </row>
    <row r="240" spans="3:6">
      <c r="C240" t="str">
        <f t="shared" si="6"/>
        <v/>
      </c>
      <c r="D240" s="10" t="str">
        <f>IF(A240="","",SUMIFS('Sales Log'!$G$3:$G$2002,'Sales Log'!$A$3:$A$2002,A240))</f>
        <v/>
      </c>
      <c r="E240" s="10" t="str">
        <f>IF(A240="","",SUMIFS('Shop Expenses'!$D$3:$D$2002,'Shop Expenses'!$A$3:$A$2002,A240)+SUMIFS('Farm Costs'!$D$3:$D$2002,'Farm Costs'!$A$3:$A$2002,A240))</f>
        <v/>
      </c>
      <c r="F240" s="10" t="str">
        <f t="shared" si="7"/>
        <v/>
      </c>
    </row>
    <row r="241" spans="3:6">
      <c r="C241" t="str">
        <f t="shared" si="6"/>
        <v/>
      </c>
      <c r="D241" s="10" t="str">
        <f>IF(A241="","",SUMIFS('Sales Log'!$G$3:$G$2002,'Sales Log'!$A$3:$A$2002,A241))</f>
        <v/>
      </c>
      <c r="E241" s="10" t="str">
        <f>IF(A241="","",SUMIFS('Shop Expenses'!$D$3:$D$2002,'Shop Expenses'!$A$3:$A$2002,A241)+SUMIFS('Farm Costs'!$D$3:$D$2002,'Farm Costs'!$A$3:$A$2002,A241))</f>
        <v/>
      </c>
      <c r="F241" s="10" t="str">
        <f t="shared" si="7"/>
        <v/>
      </c>
    </row>
    <row r="242" spans="3:6">
      <c r="C242" t="str">
        <f t="shared" si="6"/>
        <v/>
      </c>
      <c r="D242" s="10" t="str">
        <f>IF(A242="","",SUMIFS('Sales Log'!$G$3:$G$2002,'Sales Log'!$A$3:$A$2002,A242))</f>
        <v/>
      </c>
      <c r="E242" s="10" t="str">
        <f>IF(A242="","",SUMIFS('Shop Expenses'!$D$3:$D$2002,'Shop Expenses'!$A$3:$A$2002,A242)+SUMIFS('Farm Costs'!$D$3:$D$2002,'Farm Costs'!$A$3:$A$2002,A242))</f>
        <v/>
      </c>
      <c r="F242" s="10" t="str">
        <f t="shared" si="7"/>
        <v/>
      </c>
    </row>
    <row r="243" spans="3:6">
      <c r="C243" t="str">
        <f t="shared" si="6"/>
        <v/>
      </c>
      <c r="D243" s="10" t="str">
        <f>IF(A243="","",SUMIFS('Sales Log'!$G$3:$G$2002,'Sales Log'!$A$3:$A$2002,A243))</f>
        <v/>
      </c>
      <c r="E243" s="10" t="str">
        <f>IF(A243="","",SUMIFS('Shop Expenses'!$D$3:$D$2002,'Shop Expenses'!$A$3:$A$2002,A243)+SUMIFS('Farm Costs'!$D$3:$D$2002,'Farm Costs'!$A$3:$A$2002,A243))</f>
        <v/>
      </c>
      <c r="F243" s="10" t="str">
        <f t="shared" si="7"/>
        <v/>
      </c>
    </row>
    <row r="244" spans="3:6">
      <c r="C244" t="str">
        <f t="shared" si="6"/>
        <v/>
      </c>
      <c r="D244" s="10" t="str">
        <f>IF(A244="","",SUMIFS('Sales Log'!$G$3:$G$2002,'Sales Log'!$A$3:$A$2002,A244))</f>
        <v/>
      </c>
      <c r="E244" s="10" t="str">
        <f>IF(A244="","",SUMIFS('Shop Expenses'!$D$3:$D$2002,'Shop Expenses'!$A$3:$A$2002,A244)+SUMIFS('Farm Costs'!$D$3:$D$2002,'Farm Costs'!$A$3:$A$2002,A244))</f>
        <v/>
      </c>
      <c r="F244" s="10" t="str">
        <f t="shared" si="7"/>
        <v/>
      </c>
    </row>
    <row r="245" spans="3:6">
      <c r="C245" t="str">
        <f t="shared" si="6"/>
        <v/>
      </c>
      <c r="D245" s="10" t="str">
        <f>IF(A245="","",SUMIFS('Sales Log'!$G$3:$G$2002,'Sales Log'!$A$3:$A$2002,A245))</f>
        <v/>
      </c>
      <c r="E245" s="10" t="str">
        <f>IF(A245="","",SUMIFS('Shop Expenses'!$D$3:$D$2002,'Shop Expenses'!$A$3:$A$2002,A245)+SUMIFS('Farm Costs'!$D$3:$D$2002,'Farm Costs'!$A$3:$A$2002,A245))</f>
        <v/>
      </c>
      <c r="F245" s="10" t="str">
        <f t="shared" si="7"/>
        <v/>
      </c>
    </row>
    <row r="246" spans="3:6">
      <c r="C246" t="str">
        <f t="shared" si="6"/>
        <v/>
      </c>
      <c r="D246" s="10" t="str">
        <f>IF(A246="","",SUMIFS('Sales Log'!$G$3:$G$2002,'Sales Log'!$A$3:$A$2002,A246))</f>
        <v/>
      </c>
      <c r="E246" s="10" t="str">
        <f>IF(A246="","",SUMIFS('Shop Expenses'!$D$3:$D$2002,'Shop Expenses'!$A$3:$A$2002,A246)+SUMIFS('Farm Costs'!$D$3:$D$2002,'Farm Costs'!$A$3:$A$2002,A246))</f>
        <v/>
      </c>
      <c r="F246" s="10" t="str">
        <f t="shared" si="7"/>
        <v/>
      </c>
    </row>
    <row r="247" spans="3:6">
      <c r="C247" t="str">
        <f t="shared" si="6"/>
        <v/>
      </c>
      <c r="D247" s="10" t="str">
        <f>IF(A247="","",SUMIFS('Sales Log'!$G$3:$G$2002,'Sales Log'!$A$3:$A$2002,A247))</f>
        <v/>
      </c>
      <c r="E247" s="10" t="str">
        <f>IF(A247="","",SUMIFS('Shop Expenses'!$D$3:$D$2002,'Shop Expenses'!$A$3:$A$2002,A247)+SUMIFS('Farm Costs'!$D$3:$D$2002,'Farm Costs'!$A$3:$A$2002,A247))</f>
        <v/>
      </c>
      <c r="F247" s="10" t="str">
        <f t="shared" si="7"/>
        <v/>
      </c>
    </row>
    <row r="248" spans="3:6">
      <c r="C248" t="str">
        <f t="shared" si="6"/>
        <v/>
      </c>
      <c r="D248" s="10" t="str">
        <f>IF(A248="","",SUMIFS('Sales Log'!$G$3:$G$2002,'Sales Log'!$A$3:$A$2002,A248))</f>
        <v/>
      </c>
      <c r="E248" s="10" t="str">
        <f>IF(A248="","",SUMIFS('Shop Expenses'!$D$3:$D$2002,'Shop Expenses'!$A$3:$A$2002,A248)+SUMIFS('Farm Costs'!$D$3:$D$2002,'Farm Costs'!$A$3:$A$2002,A248))</f>
        <v/>
      </c>
      <c r="F248" s="10" t="str">
        <f t="shared" si="7"/>
        <v/>
      </c>
    </row>
    <row r="249" spans="3:6">
      <c r="C249" t="str">
        <f t="shared" si="6"/>
        <v/>
      </c>
      <c r="D249" s="10" t="str">
        <f>IF(A249="","",SUMIFS('Sales Log'!$G$3:$G$2002,'Sales Log'!$A$3:$A$2002,A249))</f>
        <v/>
      </c>
      <c r="E249" s="10" t="str">
        <f>IF(A249="","",SUMIFS('Shop Expenses'!$D$3:$D$2002,'Shop Expenses'!$A$3:$A$2002,A249)+SUMIFS('Farm Costs'!$D$3:$D$2002,'Farm Costs'!$A$3:$A$2002,A249))</f>
        <v/>
      </c>
      <c r="F249" s="10" t="str">
        <f t="shared" si="7"/>
        <v/>
      </c>
    </row>
    <row r="250" spans="3:6">
      <c r="C250" t="str">
        <f t="shared" si="6"/>
        <v/>
      </c>
      <c r="D250" s="10" t="str">
        <f>IF(A250="","",SUMIFS('Sales Log'!$G$3:$G$2002,'Sales Log'!$A$3:$A$2002,A250))</f>
        <v/>
      </c>
      <c r="E250" s="10" t="str">
        <f>IF(A250="","",SUMIFS('Shop Expenses'!$D$3:$D$2002,'Shop Expenses'!$A$3:$A$2002,A250)+SUMIFS('Farm Costs'!$D$3:$D$2002,'Farm Costs'!$A$3:$A$2002,A250))</f>
        <v/>
      </c>
      <c r="F250" s="10" t="str">
        <f t="shared" si="7"/>
        <v/>
      </c>
    </row>
    <row r="251" spans="3:6">
      <c r="C251" t="str">
        <f t="shared" si="6"/>
        <v/>
      </c>
      <c r="D251" s="10" t="str">
        <f>IF(A251="","",SUMIFS('Sales Log'!$G$3:$G$2002,'Sales Log'!$A$3:$A$2002,A251))</f>
        <v/>
      </c>
      <c r="E251" s="10" t="str">
        <f>IF(A251="","",SUMIFS('Shop Expenses'!$D$3:$D$2002,'Shop Expenses'!$A$3:$A$2002,A251)+SUMIFS('Farm Costs'!$D$3:$D$2002,'Farm Costs'!$A$3:$A$2002,A251))</f>
        <v/>
      </c>
      <c r="F251" s="10" t="str">
        <f t="shared" si="7"/>
        <v/>
      </c>
    </row>
    <row r="252" spans="3:6">
      <c r="C252" t="str">
        <f t="shared" si="6"/>
        <v/>
      </c>
      <c r="D252" s="10" t="str">
        <f>IF(A252="","",SUMIFS('Sales Log'!$G$3:$G$2002,'Sales Log'!$A$3:$A$2002,A252))</f>
        <v/>
      </c>
      <c r="E252" s="10" t="str">
        <f>IF(A252="","",SUMIFS('Shop Expenses'!$D$3:$D$2002,'Shop Expenses'!$A$3:$A$2002,A252)+SUMIFS('Farm Costs'!$D$3:$D$2002,'Farm Costs'!$A$3:$A$2002,A252))</f>
        <v/>
      </c>
      <c r="F252" s="10" t="str">
        <f t="shared" si="7"/>
        <v/>
      </c>
    </row>
    <row r="253" spans="3:6">
      <c r="C253" t="str">
        <f t="shared" si="6"/>
        <v/>
      </c>
      <c r="D253" s="10" t="str">
        <f>IF(A253="","",SUMIFS('Sales Log'!$G$3:$G$2002,'Sales Log'!$A$3:$A$2002,A253))</f>
        <v/>
      </c>
      <c r="E253" s="10" t="str">
        <f>IF(A253="","",SUMIFS('Shop Expenses'!$D$3:$D$2002,'Shop Expenses'!$A$3:$A$2002,A253)+SUMIFS('Farm Costs'!$D$3:$D$2002,'Farm Costs'!$A$3:$A$2002,A253))</f>
        <v/>
      </c>
      <c r="F253" s="10" t="str">
        <f t="shared" si="7"/>
        <v/>
      </c>
    </row>
    <row r="254" spans="3:6">
      <c r="C254" t="str">
        <f t="shared" si="6"/>
        <v/>
      </c>
      <c r="D254" s="10" t="str">
        <f>IF(A254="","",SUMIFS('Sales Log'!$G$3:$G$2002,'Sales Log'!$A$3:$A$2002,A254))</f>
        <v/>
      </c>
      <c r="E254" s="10" t="str">
        <f>IF(A254="","",SUMIFS('Shop Expenses'!$D$3:$D$2002,'Shop Expenses'!$A$3:$A$2002,A254)+SUMIFS('Farm Costs'!$D$3:$D$2002,'Farm Costs'!$A$3:$A$2002,A254))</f>
        <v/>
      </c>
      <c r="F254" s="10" t="str">
        <f t="shared" si="7"/>
        <v/>
      </c>
    </row>
    <row r="255" spans="3:6">
      <c r="C255" t="str">
        <f t="shared" si="6"/>
        <v/>
      </c>
      <c r="D255" s="10" t="str">
        <f>IF(A255="","",SUMIFS('Sales Log'!$G$3:$G$2002,'Sales Log'!$A$3:$A$2002,A255))</f>
        <v/>
      </c>
      <c r="E255" s="10" t="str">
        <f>IF(A255="","",SUMIFS('Shop Expenses'!$D$3:$D$2002,'Shop Expenses'!$A$3:$A$2002,A255)+SUMIFS('Farm Costs'!$D$3:$D$2002,'Farm Costs'!$A$3:$A$2002,A255))</f>
        <v/>
      </c>
      <c r="F255" s="10" t="str">
        <f t="shared" si="7"/>
        <v/>
      </c>
    </row>
    <row r="256" spans="3:6">
      <c r="C256" t="str">
        <f t="shared" si="6"/>
        <v/>
      </c>
      <c r="D256" s="10" t="str">
        <f>IF(A256="","",SUMIFS('Sales Log'!$G$3:$G$2002,'Sales Log'!$A$3:$A$2002,A256))</f>
        <v/>
      </c>
      <c r="E256" s="10" t="str">
        <f>IF(A256="","",SUMIFS('Shop Expenses'!$D$3:$D$2002,'Shop Expenses'!$A$3:$A$2002,A256)+SUMIFS('Farm Costs'!$D$3:$D$2002,'Farm Costs'!$A$3:$A$2002,A256))</f>
        <v/>
      </c>
      <c r="F256" s="10" t="str">
        <f t="shared" si="7"/>
        <v/>
      </c>
    </row>
    <row r="257" spans="3:6">
      <c r="C257" t="str">
        <f t="shared" si="6"/>
        <v/>
      </c>
      <c r="D257" s="10" t="str">
        <f>IF(A257="","",SUMIFS('Sales Log'!$G$3:$G$2002,'Sales Log'!$A$3:$A$2002,A257))</f>
        <v/>
      </c>
      <c r="E257" s="10" t="str">
        <f>IF(A257="","",SUMIFS('Shop Expenses'!$D$3:$D$2002,'Shop Expenses'!$A$3:$A$2002,A257)+SUMIFS('Farm Costs'!$D$3:$D$2002,'Farm Costs'!$A$3:$A$2002,A257))</f>
        <v/>
      </c>
      <c r="F257" s="10" t="str">
        <f t="shared" si="7"/>
        <v/>
      </c>
    </row>
    <row r="258" spans="3:6">
      <c r="C258" t="str">
        <f t="shared" si="6"/>
        <v/>
      </c>
      <c r="D258" s="10" t="str">
        <f>IF(A258="","",SUMIFS('Sales Log'!$G$3:$G$2002,'Sales Log'!$A$3:$A$2002,A258))</f>
        <v/>
      </c>
      <c r="E258" s="10" t="str">
        <f>IF(A258="","",SUMIFS('Shop Expenses'!$D$3:$D$2002,'Shop Expenses'!$A$3:$A$2002,A258)+SUMIFS('Farm Costs'!$D$3:$D$2002,'Farm Costs'!$A$3:$A$2002,A258))</f>
        <v/>
      </c>
      <c r="F258" s="10" t="str">
        <f t="shared" si="7"/>
        <v/>
      </c>
    </row>
    <row r="259" spans="3:6">
      <c r="C259" t="str">
        <f t="shared" si="6"/>
        <v/>
      </c>
      <c r="D259" s="10" t="str">
        <f>IF(A259="","",SUMIFS('Sales Log'!$G$3:$G$2002,'Sales Log'!$A$3:$A$2002,A259))</f>
        <v/>
      </c>
      <c r="E259" s="10" t="str">
        <f>IF(A259="","",SUMIFS('Shop Expenses'!$D$3:$D$2002,'Shop Expenses'!$A$3:$A$2002,A259)+SUMIFS('Farm Costs'!$D$3:$D$2002,'Farm Costs'!$A$3:$A$2002,A259))</f>
        <v/>
      </c>
      <c r="F259" s="10" t="str">
        <f t="shared" si="7"/>
        <v/>
      </c>
    </row>
    <row r="260" spans="3:6">
      <c r="C260" t="str">
        <f t="shared" si="6"/>
        <v/>
      </c>
      <c r="D260" s="10" t="str">
        <f>IF(A260="","",SUMIFS('Sales Log'!$G$3:$G$2002,'Sales Log'!$A$3:$A$2002,A260))</f>
        <v/>
      </c>
      <c r="E260" s="10" t="str">
        <f>IF(A260="","",SUMIFS('Shop Expenses'!$D$3:$D$2002,'Shop Expenses'!$A$3:$A$2002,A260)+SUMIFS('Farm Costs'!$D$3:$D$2002,'Farm Costs'!$A$3:$A$2002,A260))</f>
        <v/>
      </c>
      <c r="F260" s="10" t="str">
        <f t="shared" si="7"/>
        <v/>
      </c>
    </row>
    <row r="261" spans="3:6">
      <c r="C261" t="str">
        <f t="shared" ref="C261:C324" si="8">IF(A261="","","Daily Sales")</f>
        <v/>
      </c>
      <c r="D261" s="10" t="str">
        <f>IF(A261="","",SUMIFS('Sales Log'!$G$3:$G$2002,'Sales Log'!$A$3:$A$2002,A261))</f>
        <v/>
      </c>
      <c r="E261" s="10" t="str">
        <f>IF(A261="","",SUMIFS('Shop Expenses'!$D$3:$D$2002,'Shop Expenses'!$A$3:$A$2002,A261)+SUMIFS('Farm Costs'!$D$3:$D$2002,'Farm Costs'!$A$3:$A$2002,A261))</f>
        <v/>
      </c>
      <c r="F261" s="10" t="str">
        <f t="shared" si="7"/>
        <v/>
      </c>
    </row>
    <row r="262" spans="3:6">
      <c r="C262" t="str">
        <f t="shared" si="8"/>
        <v/>
      </c>
      <c r="D262" s="10" t="str">
        <f>IF(A262="","",SUMIFS('Sales Log'!$G$3:$G$2002,'Sales Log'!$A$3:$A$2002,A262))</f>
        <v/>
      </c>
      <c r="E262" s="10" t="str">
        <f>IF(A262="","",SUMIFS('Shop Expenses'!$D$3:$D$2002,'Shop Expenses'!$A$3:$A$2002,A262)+SUMIFS('Farm Costs'!$D$3:$D$2002,'Farm Costs'!$A$3:$A$2002,A262))</f>
        <v/>
      </c>
      <c r="F262" s="10" t="str">
        <f t="shared" ref="F262:F325" si="9">IF(A262="","",F261+D262-E262)</f>
        <v/>
      </c>
    </row>
    <row r="263" spans="3:6">
      <c r="C263" t="str">
        <f t="shared" si="8"/>
        <v/>
      </c>
      <c r="D263" s="10" t="str">
        <f>IF(A263="","",SUMIFS('Sales Log'!$G$3:$G$2002,'Sales Log'!$A$3:$A$2002,A263))</f>
        <v/>
      </c>
      <c r="E263" s="10" t="str">
        <f>IF(A263="","",SUMIFS('Shop Expenses'!$D$3:$D$2002,'Shop Expenses'!$A$3:$A$2002,A263)+SUMIFS('Farm Costs'!$D$3:$D$2002,'Farm Costs'!$A$3:$A$2002,A263))</f>
        <v/>
      </c>
      <c r="F263" s="10" t="str">
        <f t="shared" si="9"/>
        <v/>
      </c>
    </row>
    <row r="264" spans="3:6">
      <c r="C264" t="str">
        <f t="shared" si="8"/>
        <v/>
      </c>
      <c r="D264" s="10" t="str">
        <f>IF(A264="","",SUMIFS('Sales Log'!$G$3:$G$2002,'Sales Log'!$A$3:$A$2002,A264))</f>
        <v/>
      </c>
      <c r="E264" s="10" t="str">
        <f>IF(A264="","",SUMIFS('Shop Expenses'!$D$3:$D$2002,'Shop Expenses'!$A$3:$A$2002,A264)+SUMIFS('Farm Costs'!$D$3:$D$2002,'Farm Costs'!$A$3:$A$2002,A264))</f>
        <v/>
      </c>
      <c r="F264" s="10" t="str">
        <f t="shared" si="9"/>
        <v/>
      </c>
    </row>
    <row r="265" spans="3:6">
      <c r="C265" t="str">
        <f t="shared" si="8"/>
        <v/>
      </c>
      <c r="D265" s="10" t="str">
        <f>IF(A265="","",SUMIFS('Sales Log'!$G$3:$G$2002,'Sales Log'!$A$3:$A$2002,A265))</f>
        <v/>
      </c>
      <c r="E265" s="10" t="str">
        <f>IF(A265="","",SUMIFS('Shop Expenses'!$D$3:$D$2002,'Shop Expenses'!$A$3:$A$2002,A265)+SUMIFS('Farm Costs'!$D$3:$D$2002,'Farm Costs'!$A$3:$A$2002,A265))</f>
        <v/>
      </c>
      <c r="F265" s="10" t="str">
        <f t="shared" si="9"/>
        <v/>
      </c>
    </row>
    <row r="266" spans="3:6">
      <c r="C266" t="str">
        <f t="shared" si="8"/>
        <v/>
      </c>
      <c r="D266" s="10" t="str">
        <f>IF(A266="","",SUMIFS('Sales Log'!$G$3:$G$2002,'Sales Log'!$A$3:$A$2002,A266))</f>
        <v/>
      </c>
      <c r="E266" s="10" t="str">
        <f>IF(A266="","",SUMIFS('Shop Expenses'!$D$3:$D$2002,'Shop Expenses'!$A$3:$A$2002,A266)+SUMIFS('Farm Costs'!$D$3:$D$2002,'Farm Costs'!$A$3:$A$2002,A266))</f>
        <v/>
      </c>
      <c r="F266" s="10" t="str">
        <f t="shared" si="9"/>
        <v/>
      </c>
    </row>
    <row r="267" spans="3:6">
      <c r="C267" t="str">
        <f t="shared" si="8"/>
        <v/>
      </c>
      <c r="D267" s="10" t="str">
        <f>IF(A267="","",SUMIFS('Sales Log'!$G$3:$G$2002,'Sales Log'!$A$3:$A$2002,A267))</f>
        <v/>
      </c>
      <c r="E267" s="10" t="str">
        <f>IF(A267="","",SUMIFS('Shop Expenses'!$D$3:$D$2002,'Shop Expenses'!$A$3:$A$2002,A267)+SUMIFS('Farm Costs'!$D$3:$D$2002,'Farm Costs'!$A$3:$A$2002,A267))</f>
        <v/>
      </c>
      <c r="F267" s="10" t="str">
        <f t="shared" si="9"/>
        <v/>
      </c>
    </row>
    <row r="268" spans="3:6">
      <c r="C268" t="str">
        <f t="shared" si="8"/>
        <v/>
      </c>
      <c r="D268" s="10" t="str">
        <f>IF(A268="","",SUMIFS('Sales Log'!$G$3:$G$2002,'Sales Log'!$A$3:$A$2002,A268))</f>
        <v/>
      </c>
      <c r="E268" s="10" t="str">
        <f>IF(A268="","",SUMIFS('Shop Expenses'!$D$3:$D$2002,'Shop Expenses'!$A$3:$A$2002,A268)+SUMIFS('Farm Costs'!$D$3:$D$2002,'Farm Costs'!$A$3:$A$2002,A268))</f>
        <v/>
      </c>
      <c r="F268" s="10" t="str">
        <f t="shared" si="9"/>
        <v/>
      </c>
    </row>
    <row r="269" spans="3:6">
      <c r="C269" t="str">
        <f t="shared" si="8"/>
        <v/>
      </c>
      <c r="D269" s="10" t="str">
        <f>IF(A269="","",SUMIFS('Sales Log'!$G$3:$G$2002,'Sales Log'!$A$3:$A$2002,A269))</f>
        <v/>
      </c>
      <c r="E269" s="10" t="str">
        <f>IF(A269="","",SUMIFS('Shop Expenses'!$D$3:$D$2002,'Shop Expenses'!$A$3:$A$2002,A269)+SUMIFS('Farm Costs'!$D$3:$D$2002,'Farm Costs'!$A$3:$A$2002,A269))</f>
        <v/>
      </c>
      <c r="F269" s="10" t="str">
        <f t="shared" si="9"/>
        <v/>
      </c>
    </row>
    <row r="270" spans="3:6">
      <c r="C270" t="str">
        <f t="shared" si="8"/>
        <v/>
      </c>
      <c r="D270" s="10" t="str">
        <f>IF(A270="","",SUMIFS('Sales Log'!$G$3:$G$2002,'Sales Log'!$A$3:$A$2002,A270))</f>
        <v/>
      </c>
      <c r="E270" s="10" t="str">
        <f>IF(A270="","",SUMIFS('Shop Expenses'!$D$3:$D$2002,'Shop Expenses'!$A$3:$A$2002,A270)+SUMIFS('Farm Costs'!$D$3:$D$2002,'Farm Costs'!$A$3:$A$2002,A270))</f>
        <v/>
      </c>
      <c r="F270" s="10" t="str">
        <f t="shared" si="9"/>
        <v/>
      </c>
    </row>
    <row r="271" spans="3:6">
      <c r="C271" t="str">
        <f t="shared" si="8"/>
        <v/>
      </c>
      <c r="D271" s="10" t="str">
        <f>IF(A271="","",SUMIFS('Sales Log'!$G$3:$G$2002,'Sales Log'!$A$3:$A$2002,A271))</f>
        <v/>
      </c>
      <c r="E271" s="10" t="str">
        <f>IF(A271="","",SUMIFS('Shop Expenses'!$D$3:$D$2002,'Shop Expenses'!$A$3:$A$2002,A271)+SUMIFS('Farm Costs'!$D$3:$D$2002,'Farm Costs'!$A$3:$A$2002,A271))</f>
        <v/>
      </c>
      <c r="F271" s="10" t="str">
        <f t="shared" si="9"/>
        <v/>
      </c>
    </row>
    <row r="272" spans="3:6">
      <c r="C272" t="str">
        <f t="shared" si="8"/>
        <v/>
      </c>
      <c r="D272" s="10" t="str">
        <f>IF(A272="","",SUMIFS('Sales Log'!$G$3:$G$2002,'Sales Log'!$A$3:$A$2002,A272))</f>
        <v/>
      </c>
      <c r="E272" s="10" t="str">
        <f>IF(A272="","",SUMIFS('Shop Expenses'!$D$3:$D$2002,'Shop Expenses'!$A$3:$A$2002,A272)+SUMIFS('Farm Costs'!$D$3:$D$2002,'Farm Costs'!$A$3:$A$2002,A272))</f>
        <v/>
      </c>
      <c r="F272" s="10" t="str">
        <f t="shared" si="9"/>
        <v/>
      </c>
    </row>
    <row r="273" spans="3:6">
      <c r="C273" t="str">
        <f t="shared" si="8"/>
        <v/>
      </c>
      <c r="D273" s="10" t="str">
        <f>IF(A273="","",SUMIFS('Sales Log'!$G$3:$G$2002,'Sales Log'!$A$3:$A$2002,A273))</f>
        <v/>
      </c>
      <c r="E273" s="10" t="str">
        <f>IF(A273="","",SUMIFS('Shop Expenses'!$D$3:$D$2002,'Shop Expenses'!$A$3:$A$2002,A273)+SUMIFS('Farm Costs'!$D$3:$D$2002,'Farm Costs'!$A$3:$A$2002,A273))</f>
        <v/>
      </c>
      <c r="F273" s="10" t="str">
        <f t="shared" si="9"/>
        <v/>
      </c>
    </row>
    <row r="274" spans="3:6">
      <c r="C274" t="str">
        <f t="shared" si="8"/>
        <v/>
      </c>
      <c r="D274" s="10" t="str">
        <f>IF(A274="","",SUMIFS('Sales Log'!$G$3:$G$2002,'Sales Log'!$A$3:$A$2002,A274))</f>
        <v/>
      </c>
      <c r="E274" s="10" t="str">
        <f>IF(A274="","",SUMIFS('Shop Expenses'!$D$3:$D$2002,'Shop Expenses'!$A$3:$A$2002,A274)+SUMIFS('Farm Costs'!$D$3:$D$2002,'Farm Costs'!$A$3:$A$2002,A274))</f>
        <v/>
      </c>
      <c r="F274" s="10" t="str">
        <f t="shared" si="9"/>
        <v/>
      </c>
    </row>
    <row r="275" spans="3:6">
      <c r="C275" t="str">
        <f t="shared" si="8"/>
        <v/>
      </c>
      <c r="D275" s="10" t="str">
        <f>IF(A275="","",SUMIFS('Sales Log'!$G$3:$G$2002,'Sales Log'!$A$3:$A$2002,A275))</f>
        <v/>
      </c>
      <c r="E275" s="10" t="str">
        <f>IF(A275="","",SUMIFS('Shop Expenses'!$D$3:$D$2002,'Shop Expenses'!$A$3:$A$2002,A275)+SUMIFS('Farm Costs'!$D$3:$D$2002,'Farm Costs'!$A$3:$A$2002,A275))</f>
        <v/>
      </c>
      <c r="F275" s="10" t="str">
        <f t="shared" si="9"/>
        <v/>
      </c>
    </row>
    <row r="276" spans="3:6">
      <c r="C276" t="str">
        <f t="shared" si="8"/>
        <v/>
      </c>
      <c r="D276" s="10" t="str">
        <f>IF(A276="","",SUMIFS('Sales Log'!$G$3:$G$2002,'Sales Log'!$A$3:$A$2002,A276))</f>
        <v/>
      </c>
      <c r="E276" s="10" t="str">
        <f>IF(A276="","",SUMIFS('Shop Expenses'!$D$3:$D$2002,'Shop Expenses'!$A$3:$A$2002,A276)+SUMIFS('Farm Costs'!$D$3:$D$2002,'Farm Costs'!$A$3:$A$2002,A276))</f>
        <v/>
      </c>
      <c r="F276" s="10" t="str">
        <f t="shared" si="9"/>
        <v/>
      </c>
    </row>
    <row r="277" spans="3:6">
      <c r="C277" t="str">
        <f t="shared" si="8"/>
        <v/>
      </c>
      <c r="D277" s="10" t="str">
        <f>IF(A277="","",SUMIFS('Sales Log'!$G$3:$G$2002,'Sales Log'!$A$3:$A$2002,A277))</f>
        <v/>
      </c>
      <c r="E277" s="10" t="str">
        <f>IF(A277="","",SUMIFS('Shop Expenses'!$D$3:$D$2002,'Shop Expenses'!$A$3:$A$2002,A277)+SUMIFS('Farm Costs'!$D$3:$D$2002,'Farm Costs'!$A$3:$A$2002,A277))</f>
        <v/>
      </c>
      <c r="F277" s="10" t="str">
        <f t="shared" si="9"/>
        <v/>
      </c>
    </row>
    <row r="278" spans="3:6">
      <c r="C278" t="str">
        <f t="shared" si="8"/>
        <v/>
      </c>
      <c r="D278" s="10" t="str">
        <f>IF(A278="","",SUMIFS('Sales Log'!$G$3:$G$2002,'Sales Log'!$A$3:$A$2002,A278))</f>
        <v/>
      </c>
      <c r="E278" s="10" t="str">
        <f>IF(A278="","",SUMIFS('Shop Expenses'!$D$3:$D$2002,'Shop Expenses'!$A$3:$A$2002,A278)+SUMIFS('Farm Costs'!$D$3:$D$2002,'Farm Costs'!$A$3:$A$2002,A278))</f>
        <v/>
      </c>
      <c r="F278" s="10" t="str">
        <f t="shared" si="9"/>
        <v/>
      </c>
    </row>
    <row r="279" spans="3:6">
      <c r="C279" t="str">
        <f t="shared" si="8"/>
        <v/>
      </c>
      <c r="D279" s="10" t="str">
        <f>IF(A279="","",SUMIFS('Sales Log'!$G$3:$G$2002,'Sales Log'!$A$3:$A$2002,A279))</f>
        <v/>
      </c>
      <c r="E279" s="10" t="str">
        <f>IF(A279="","",SUMIFS('Shop Expenses'!$D$3:$D$2002,'Shop Expenses'!$A$3:$A$2002,A279)+SUMIFS('Farm Costs'!$D$3:$D$2002,'Farm Costs'!$A$3:$A$2002,A279))</f>
        <v/>
      </c>
      <c r="F279" s="10" t="str">
        <f t="shared" si="9"/>
        <v/>
      </c>
    </row>
    <row r="280" spans="3:6">
      <c r="C280" t="str">
        <f t="shared" si="8"/>
        <v/>
      </c>
      <c r="D280" s="10" t="str">
        <f>IF(A280="","",SUMIFS('Sales Log'!$G$3:$G$2002,'Sales Log'!$A$3:$A$2002,A280))</f>
        <v/>
      </c>
      <c r="E280" s="10" t="str">
        <f>IF(A280="","",SUMIFS('Shop Expenses'!$D$3:$D$2002,'Shop Expenses'!$A$3:$A$2002,A280)+SUMIFS('Farm Costs'!$D$3:$D$2002,'Farm Costs'!$A$3:$A$2002,A280))</f>
        <v/>
      </c>
      <c r="F280" s="10" t="str">
        <f t="shared" si="9"/>
        <v/>
      </c>
    </row>
    <row r="281" spans="3:6">
      <c r="C281" t="str">
        <f t="shared" si="8"/>
        <v/>
      </c>
      <c r="D281" s="10" t="str">
        <f>IF(A281="","",SUMIFS('Sales Log'!$G$3:$G$2002,'Sales Log'!$A$3:$A$2002,A281))</f>
        <v/>
      </c>
      <c r="E281" s="10" t="str">
        <f>IF(A281="","",SUMIFS('Shop Expenses'!$D$3:$D$2002,'Shop Expenses'!$A$3:$A$2002,A281)+SUMIFS('Farm Costs'!$D$3:$D$2002,'Farm Costs'!$A$3:$A$2002,A281))</f>
        <v/>
      </c>
      <c r="F281" s="10" t="str">
        <f t="shared" si="9"/>
        <v/>
      </c>
    </row>
    <row r="282" spans="3:6">
      <c r="C282" t="str">
        <f t="shared" si="8"/>
        <v/>
      </c>
      <c r="D282" s="10" t="str">
        <f>IF(A282="","",SUMIFS('Sales Log'!$G$3:$G$2002,'Sales Log'!$A$3:$A$2002,A282))</f>
        <v/>
      </c>
      <c r="E282" s="10" t="str">
        <f>IF(A282="","",SUMIFS('Shop Expenses'!$D$3:$D$2002,'Shop Expenses'!$A$3:$A$2002,A282)+SUMIFS('Farm Costs'!$D$3:$D$2002,'Farm Costs'!$A$3:$A$2002,A282))</f>
        <v/>
      </c>
      <c r="F282" s="10" t="str">
        <f t="shared" si="9"/>
        <v/>
      </c>
    </row>
    <row r="283" spans="3:6">
      <c r="C283" t="str">
        <f t="shared" si="8"/>
        <v/>
      </c>
      <c r="D283" s="10" t="str">
        <f>IF(A283="","",SUMIFS('Sales Log'!$G$3:$G$2002,'Sales Log'!$A$3:$A$2002,A283))</f>
        <v/>
      </c>
      <c r="E283" s="10" t="str">
        <f>IF(A283="","",SUMIFS('Shop Expenses'!$D$3:$D$2002,'Shop Expenses'!$A$3:$A$2002,A283)+SUMIFS('Farm Costs'!$D$3:$D$2002,'Farm Costs'!$A$3:$A$2002,A283))</f>
        <v/>
      </c>
      <c r="F283" s="10" t="str">
        <f t="shared" si="9"/>
        <v/>
      </c>
    </row>
    <row r="284" spans="3:6">
      <c r="C284" t="str">
        <f t="shared" si="8"/>
        <v/>
      </c>
      <c r="D284" s="10" t="str">
        <f>IF(A284="","",SUMIFS('Sales Log'!$G$3:$G$2002,'Sales Log'!$A$3:$A$2002,A284))</f>
        <v/>
      </c>
      <c r="E284" s="10" t="str">
        <f>IF(A284="","",SUMIFS('Shop Expenses'!$D$3:$D$2002,'Shop Expenses'!$A$3:$A$2002,A284)+SUMIFS('Farm Costs'!$D$3:$D$2002,'Farm Costs'!$A$3:$A$2002,A284))</f>
        <v/>
      </c>
      <c r="F284" s="10" t="str">
        <f t="shared" si="9"/>
        <v/>
      </c>
    </row>
    <row r="285" spans="3:6">
      <c r="C285" t="str">
        <f t="shared" si="8"/>
        <v/>
      </c>
      <c r="D285" s="10" t="str">
        <f>IF(A285="","",SUMIFS('Sales Log'!$G$3:$G$2002,'Sales Log'!$A$3:$A$2002,A285))</f>
        <v/>
      </c>
      <c r="E285" s="10" t="str">
        <f>IF(A285="","",SUMIFS('Shop Expenses'!$D$3:$D$2002,'Shop Expenses'!$A$3:$A$2002,A285)+SUMIFS('Farm Costs'!$D$3:$D$2002,'Farm Costs'!$A$3:$A$2002,A285))</f>
        <v/>
      </c>
      <c r="F285" s="10" t="str">
        <f t="shared" si="9"/>
        <v/>
      </c>
    </row>
    <row r="286" spans="3:6">
      <c r="C286" t="str">
        <f t="shared" si="8"/>
        <v/>
      </c>
      <c r="D286" s="10" t="str">
        <f>IF(A286="","",SUMIFS('Sales Log'!$G$3:$G$2002,'Sales Log'!$A$3:$A$2002,A286))</f>
        <v/>
      </c>
      <c r="E286" s="10" t="str">
        <f>IF(A286="","",SUMIFS('Shop Expenses'!$D$3:$D$2002,'Shop Expenses'!$A$3:$A$2002,A286)+SUMIFS('Farm Costs'!$D$3:$D$2002,'Farm Costs'!$A$3:$A$2002,A286))</f>
        <v/>
      </c>
      <c r="F286" s="10" t="str">
        <f t="shared" si="9"/>
        <v/>
      </c>
    </row>
    <row r="287" spans="3:6">
      <c r="C287" t="str">
        <f t="shared" si="8"/>
        <v/>
      </c>
      <c r="D287" s="10" t="str">
        <f>IF(A287="","",SUMIFS('Sales Log'!$G$3:$G$2002,'Sales Log'!$A$3:$A$2002,A287))</f>
        <v/>
      </c>
      <c r="E287" s="10" t="str">
        <f>IF(A287="","",SUMIFS('Shop Expenses'!$D$3:$D$2002,'Shop Expenses'!$A$3:$A$2002,A287)+SUMIFS('Farm Costs'!$D$3:$D$2002,'Farm Costs'!$A$3:$A$2002,A287))</f>
        <v/>
      </c>
      <c r="F287" s="10" t="str">
        <f t="shared" si="9"/>
        <v/>
      </c>
    </row>
    <row r="288" spans="3:6">
      <c r="C288" t="str">
        <f t="shared" si="8"/>
        <v/>
      </c>
      <c r="D288" s="10" t="str">
        <f>IF(A288="","",SUMIFS('Sales Log'!$G$3:$G$2002,'Sales Log'!$A$3:$A$2002,A288))</f>
        <v/>
      </c>
      <c r="E288" s="10" t="str">
        <f>IF(A288="","",SUMIFS('Shop Expenses'!$D$3:$D$2002,'Shop Expenses'!$A$3:$A$2002,A288)+SUMIFS('Farm Costs'!$D$3:$D$2002,'Farm Costs'!$A$3:$A$2002,A288))</f>
        <v/>
      </c>
      <c r="F288" s="10" t="str">
        <f t="shared" si="9"/>
        <v/>
      </c>
    </row>
    <row r="289" spans="3:6">
      <c r="C289" t="str">
        <f t="shared" si="8"/>
        <v/>
      </c>
      <c r="D289" s="10" t="str">
        <f>IF(A289="","",SUMIFS('Sales Log'!$G$3:$G$2002,'Sales Log'!$A$3:$A$2002,A289))</f>
        <v/>
      </c>
      <c r="E289" s="10" t="str">
        <f>IF(A289="","",SUMIFS('Shop Expenses'!$D$3:$D$2002,'Shop Expenses'!$A$3:$A$2002,A289)+SUMIFS('Farm Costs'!$D$3:$D$2002,'Farm Costs'!$A$3:$A$2002,A289))</f>
        <v/>
      </c>
      <c r="F289" s="10" t="str">
        <f t="shared" si="9"/>
        <v/>
      </c>
    </row>
    <row r="290" spans="3:6">
      <c r="C290" t="str">
        <f t="shared" si="8"/>
        <v/>
      </c>
      <c r="D290" s="10" t="str">
        <f>IF(A290="","",SUMIFS('Sales Log'!$G$3:$G$2002,'Sales Log'!$A$3:$A$2002,A290))</f>
        <v/>
      </c>
      <c r="E290" s="10" t="str">
        <f>IF(A290="","",SUMIFS('Shop Expenses'!$D$3:$D$2002,'Shop Expenses'!$A$3:$A$2002,A290)+SUMIFS('Farm Costs'!$D$3:$D$2002,'Farm Costs'!$A$3:$A$2002,A290))</f>
        <v/>
      </c>
      <c r="F290" s="10" t="str">
        <f t="shared" si="9"/>
        <v/>
      </c>
    </row>
    <row r="291" spans="3:6">
      <c r="C291" t="str">
        <f t="shared" si="8"/>
        <v/>
      </c>
      <c r="D291" s="10" t="str">
        <f>IF(A291="","",SUMIFS('Sales Log'!$G$3:$G$2002,'Sales Log'!$A$3:$A$2002,A291))</f>
        <v/>
      </c>
      <c r="E291" s="10" t="str">
        <f>IF(A291="","",SUMIFS('Shop Expenses'!$D$3:$D$2002,'Shop Expenses'!$A$3:$A$2002,A291)+SUMIFS('Farm Costs'!$D$3:$D$2002,'Farm Costs'!$A$3:$A$2002,A291))</f>
        <v/>
      </c>
      <c r="F291" s="10" t="str">
        <f t="shared" si="9"/>
        <v/>
      </c>
    </row>
    <row r="292" spans="3:6">
      <c r="C292" t="str">
        <f t="shared" si="8"/>
        <v/>
      </c>
      <c r="D292" s="10" t="str">
        <f>IF(A292="","",SUMIFS('Sales Log'!$G$3:$G$2002,'Sales Log'!$A$3:$A$2002,A292))</f>
        <v/>
      </c>
      <c r="E292" s="10" t="str">
        <f>IF(A292="","",SUMIFS('Shop Expenses'!$D$3:$D$2002,'Shop Expenses'!$A$3:$A$2002,A292)+SUMIFS('Farm Costs'!$D$3:$D$2002,'Farm Costs'!$A$3:$A$2002,A292))</f>
        <v/>
      </c>
      <c r="F292" s="10" t="str">
        <f t="shared" si="9"/>
        <v/>
      </c>
    </row>
    <row r="293" spans="3:6">
      <c r="C293" t="str">
        <f t="shared" si="8"/>
        <v/>
      </c>
      <c r="D293" s="10" t="str">
        <f>IF(A293="","",SUMIFS('Sales Log'!$G$3:$G$2002,'Sales Log'!$A$3:$A$2002,A293))</f>
        <v/>
      </c>
      <c r="E293" s="10" t="str">
        <f>IF(A293="","",SUMIFS('Shop Expenses'!$D$3:$D$2002,'Shop Expenses'!$A$3:$A$2002,A293)+SUMIFS('Farm Costs'!$D$3:$D$2002,'Farm Costs'!$A$3:$A$2002,A293))</f>
        <v/>
      </c>
      <c r="F293" s="10" t="str">
        <f t="shared" si="9"/>
        <v/>
      </c>
    </row>
    <row r="294" spans="3:6">
      <c r="C294" t="str">
        <f t="shared" si="8"/>
        <v/>
      </c>
      <c r="D294" s="10" t="str">
        <f>IF(A294="","",SUMIFS('Sales Log'!$G$3:$G$2002,'Sales Log'!$A$3:$A$2002,A294))</f>
        <v/>
      </c>
      <c r="E294" s="10" t="str">
        <f>IF(A294="","",SUMIFS('Shop Expenses'!$D$3:$D$2002,'Shop Expenses'!$A$3:$A$2002,A294)+SUMIFS('Farm Costs'!$D$3:$D$2002,'Farm Costs'!$A$3:$A$2002,A294))</f>
        <v/>
      </c>
      <c r="F294" s="10" t="str">
        <f t="shared" si="9"/>
        <v/>
      </c>
    </row>
    <row r="295" spans="3:6">
      <c r="C295" t="str">
        <f t="shared" si="8"/>
        <v/>
      </c>
      <c r="D295" s="10" t="str">
        <f>IF(A295="","",SUMIFS('Sales Log'!$G$3:$G$2002,'Sales Log'!$A$3:$A$2002,A295))</f>
        <v/>
      </c>
      <c r="E295" s="10" t="str">
        <f>IF(A295="","",SUMIFS('Shop Expenses'!$D$3:$D$2002,'Shop Expenses'!$A$3:$A$2002,A295)+SUMIFS('Farm Costs'!$D$3:$D$2002,'Farm Costs'!$A$3:$A$2002,A295))</f>
        <v/>
      </c>
      <c r="F295" s="10" t="str">
        <f t="shared" si="9"/>
        <v/>
      </c>
    </row>
    <row r="296" spans="3:6">
      <c r="C296" t="str">
        <f t="shared" si="8"/>
        <v/>
      </c>
      <c r="D296" s="10" t="str">
        <f>IF(A296="","",SUMIFS('Sales Log'!$G$3:$G$2002,'Sales Log'!$A$3:$A$2002,A296))</f>
        <v/>
      </c>
      <c r="E296" s="10" t="str">
        <f>IF(A296="","",SUMIFS('Shop Expenses'!$D$3:$D$2002,'Shop Expenses'!$A$3:$A$2002,A296)+SUMIFS('Farm Costs'!$D$3:$D$2002,'Farm Costs'!$A$3:$A$2002,A296))</f>
        <v/>
      </c>
      <c r="F296" s="10" t="str">
        <f t="shared" si="9"/>
        <v/>
      </c>
    </row>
    <row r="297" spans="3:6">
      <c r="C297" t="str">
        <f t="shared" si="8"/>
        <v/>
      </c>
      <c r="D297" s="10" t="str">
        <f>IF(A297="","",SUMIFS('Sales Log'!$G$3:$G$2002,'Sales Log'!$A$3:$A$2002,A297))</f>
        <v/>
      </c>
      <c r="E297" s="10" t="str">
        <f>IF(A297="","",SUMIFS('Shop Expenses'!$D$3:$D$2002,'Shop Expenses'!$A$3:$A$2002,A297)+SUMIFS('Farm Costs'!$D$3:$D$2002,'Farm Costs'!$A$3:$A$2002,A297))</f>
        <v/>
      </c>
      <c r="F297" s="10" t="str">
        <f t="shared" si="9"/>
        <v/>
      </c>
    </row>
    <row r="298" spans="3:6">
      <c r="C298" t="str">
        <f t="shared" si="8"/>
        <v/>
      </c>
      <c r="D298" s="10" t="str">
        <f>IF(A298="","",SUMIFS('Sales Log'!$G$3:$G$2002,'Sales Log'!$A$3:$A$2002,A298))</f>
        <v/>
      </c>
      <c r="E298" s="10" t="str">
        <f>IF(A298="","",SUMIFS('Shop Expenses'!$D$3:$D$2002,'Shop Expenses'!$A$3:$A$2002,A298)+SUMIFS('Farm Costs'!$D$3:$D$2002,'Farm Costs'!$A$3:$A$2002,A298))</f>
        <v/>
      </c>
      <c r="F298" s="10" t="str">
        <f t="shared" si="9"/>
        <v/>
      </c>
    </row>
    <row r="299" spans="3:6">
      <c r="C299" t="str">
        <f t="shared" si="8"/>
        <v/>
      </c>
      <c r="D299" s="10" t="str">
        <f>IF(A299="","",SUMIFS('Sales Log'!$G$3:$G$2002,'Sales Log'!$A$3:$A$2002,A299))</f>
        <v/>
      </c>
      <c r="E299" s="10" t="str">
        <f>IF(A299="","",SUMIFS('Shop Expenses'!$D$3:$D$2002,'Shop Expenses'!$A$3:$A$2002,A299)+SUMIFS('Farm Costs'!$D$3:$D$2002,'Farm Costs'!$A$3:$A$2002,A299))</f>
        <v/>
      </c>
      <c r="F299" s="10" t="str">
        <f t="shared" si="9"/>
        <v/>
      </c>
    </row>
    <row r="300" spans="3:6">
      <c r="C300" t="str">
        <f t="shared" si="8"/>
        <v/>
      </c>
      <c r="D300" s="10" t="str">
        <f>IF(A300="","",SUMIFS('Sales Log'!$G$3:$G$2002,'Sales Log'!$A$3:$A$2002,A300))</f>
        <v/>
      </c>
      <c r="E300" s="10" t="str">
        <f>IF(A300="","",SUMIFS('Shop Expenses'!$D$3:$D$2002,'Shop Expenses'!$A$3:$A$2002,A300)+SUMIFS('Farm Costs'!$D$3:$D$2002,'Farm Costs'!$A$3:$A$2002,A300))</f>
        <v/>
      </c>
      <c r="F300" s="10" t="str">
        <f t="shared" si="9"/>
        <v/>
      </c>
    </row>
    <row r="301" spans="3:6">
      <c r="C301" t="str">
        <f t="shared" si="8"/>
        <v/>
      </c>
      <c r="D301" s="10" t="str">
        <f>IF(A301="","",SUMIFS('Sales Log'!$G$3:$G$2002,'Sales Log'!$A$3:$A$2002,A301))</f>
        <v/>
      </c>
      <c r="E301" s="10" t="str">
        <f>IF(A301="","",SUMIFS('Shop Expenses'!$D$3:$D$2002,'Shop Expenses'!$A$3:$A$2002,A301)+SUMIFS('Farm Costs'!$D$3:$D$2002,'Farm Costs'!$A$3:$A$2002,A301))</f>
        <v/>
      </c>
      <c r="F301" s="10" t="str">
        <f t="shared" si="9"/>
        <v/>
      </c>
    </row>
    <row r="302" spans="3:6">
      <c r="C302" t="str">
        <f t="shared" si="8"/>
        <v/>
      </c>
      <c r="D302" s="10" t="str">
        <f>IF(A302="","",SUMIFS('Sales Log'!$G$3:$G$2002,'Sales Log'!$A$3:$A$2002,A302))</f>
        <v/>
      </c>
      <c r="E302" s="10" t="str">
        <f>IF(A302="","",SUMIFS('Shop Expenses'!$D$3:$D$2002,'Shop Expenses'!$A$3:$A$2002,A302)+SUMIFS('Farm Costs'!$D$3:$D$2002,'Farm Costs'!$A$3:$A$2002,A302))</f>
        <v/>
      </c>
      <c r="F302" s="10" t="str">
        <f t="shared" si="9"/>
        <v/>
      </c>
    </row>
    <row r="303" spans="3:6">
      <c r="C303" t="str">
        <f t="shared" si="8"/>
        <v/>
      </c>
      <c r="D303" s="10" t="str">
        <f>IF(A303="","",SUMIFS('Sales Log'!$G$3:$G$2002,'Sales Log'!$A$3:$A$2002,A303))</f>
        <v/>
      </c>
      <c r="E303" s="10" t="str">
        <f>IF(A303="","",SUMIFS('Shop Expenses'!$D$3:$D$2002,'Shop Expenses'!$A$3:$A$2002,A303)+SUMIFS('Farm Costs'!$D$3:$D$2002,'Farm Costs'!$A$3:$A$2002,A303))</f>
        <v/>
      </c>
      <c r="F303" s="10" t="str">
        <f t="shared" si="9"/>
        <v/>
      </c>
    </row>
    <row r="304" spans="3:6">
      <c r="C304" t="str">
        <f t="shared" si="8"/>
        <v/>
      </c>
      <c r="D304" s="10" t="str">
        <f>IF(A304="","",SUMIFS('Sales Log'!$G$3:$G$2002,'Sales Log'!$A$3:$A$2002,A304))</f>
        <v/>
      </c>
      <c r="E304" s="10" t="str">
        <f>IF(A304="","",SUMIFS('Shop Expenses'!$D$3:$D$2002,'Shop Expenses'!$A$3:$A$2002,A304)+SUMIFS('Farm Costs'!$D$3:$D$2002,'Farm Costs'!$A$3:$A$2002,A304))</f>
        <v/>
      </c>
      <c r="F304" s="10" t="str">
        <f t="shared" si="9"/>
        <v/>
      </c>
    </row>
    <row r="305" spans="3:6">
      <c r="C305" t="str">
        <f t="shared" si="8"/>
        <v/>
      </c>
      <c r="D305" s="10" t="str">
        <f>IF(A305="","",SUMIFS('Sales Log'!$G$3:$G$2002,'Sales Log'!$A$3:$A$2002,A305))</f>
        <v/>
      </c>
      <c r="E305" s="10" t="str">
        <f>IF(A305="","",SUMIFS('Shop Expenses'!$D$3:$D$2002,'Shop Expenses'!$A$3:$A$2002,A305)+SUMIFS('Farm Costs'!$D$3:$D$2002,'Farm Costs'!$A$3:$A$2002,A305))</f>
        <v/>
      </c>
      <c r="F305" s="10" t="str">
        <f t="shared" si="9"/>
        <v/>
      </c>
    </row>
    <row r="306" spans="3:6">
      <c r="C306" t="str">
        <f t="shared" si="8"/>
        <v/>
      </c>
      <c r="D306" s="10" t="str">
        <f>IF(A306="","",SUMIFS('Sales Log'!$G$3:$G$2002,'Sales Log'!$A$3:$A$2002,A306))</f>
        <v/>
      </c>
      <c r="E306" s="10" t="str">
        <f>IF(A306="","",SUMIFS('Shop Expenses'!$D$3:$D$2002,'Shop Expenses'!$A$3:$A$2002,A306)+SUMIFS('Farm Costs'!$D$3:$D$2002,'Farm Costs'!$A$3:$A$2002,A306))</f>
        <v/>
      </c>
      <c r="F306" s="10" t="str">
        <f t="shared" si="9"/>
        <v/>
      </c>
    </row>
    <row r="307" spans="3:6">
      <c r="C307" t="str">
        <f t="shared" si="8"/>
        <v/>
      </c>
      <c r="D307" s="10" t="str">
        <f>IF(A307="","",SUMIFS('Sales Log'!$G$3:$G$2002,'Sales Log'!$A$3:$A$2002,A307))</f>
        <v/>
      </c>
      <c r="E307" s="10" t="str">
        <f>IF(A307="","",SUMIFS('Shop Expenses'!$D$3:$D$2002,'Shop Expenses'!$A$3:$A$2002,A307)+SUMIFS('Farm Costs'!$D$3:$D$2002,'Farm Costs'!$A$3:$A$2002,A307))</f>
        <v/>
      </c>
      <c r="F307" s="10" t="str">
        <f t="shared" si="9"/>
        <v/>
      </c>
    </row>
    <row r="308" spans="3:6">
      <c r="C308" t="str">
        <f t="shared" si="8"/>
        <v/>
      </c>
      <c r="D308" s="10" t="str">
        <f>IF(A308="","",SUMIFS('Sales Log'!$G$3:$G$2002,'Sales Log'!$A$3:$A$2002,A308))</f>
        <v/>
      </c>
      <c r="E308" s="10" t="str">
        <f>IF(A308="","",SUMIFS('Shop Expenses'!$D$3:$D$2002,'Shop Expenses'!$A$3:$A$2002,A308)+SUMIFS('Farm Costs'!$D$3:$D$2002,'Farm Costs'!$A$3:$A$2002,A308))</f>
        <v/>
      </c>
      <c r="F308" s="10" t="str">
        <f t="shared" si="9"/>
        <v/>
      </c>
    </row>
    <row r="309" spans="3:6">
      <c r="C309" t="str">
        <f t="shared" si="8"/>
        <v/>
      </c>
      <c r="D309" s="10" t="str">
        <f>IF(A309="","",SUMIFS('Sales Log'!$G$3:$G$2002,'Sales Log'!$A$3:$A$2002,A309))</f>
        <v/>
      </c>
      <c r="E309" s="10" t="str">
        <f>IF(A309="","",SUMIFS('Shop Expenses'!$D$3:$D$2002,'Shop Expenses'!$A$3:$A$2002,A309)+SUMIFS('Farm Costs'!$D$3:$D$2002,'Farm Costs'!$A$3:$A$2002,A309))</f>
        <v/>
      </c>
      <c r="F309" s="10" t="str">
        <f t="shared" si="9"/>
        <v/>
      </c>
    </row>
    <row r="310" spans="3:6">
      <c r="C310" t="str">
        <f t="shared" si="8"/>
        <v/>
      </c>
      <c r="D310" s="10" t="str">
        <f>IF(A310="","",SUMIFS('Sales Log'!$G$3:$G$2002,'Sales Log'!$A$3:$A$2002,A310))</f>
        <v/>
      </c>
      <c r="E310" s="10" t="str">
        <f>IF(A310="","",SUMIFS('Shop Expenses'!$D$3:$D$2002,'Shop Expenses'!$A$3:$A$2002,A310)+SUMIFS('Farm Costs'!$D$3:$D$2002,'Farm Costs'!$A$3:$A$2002,A310))</f>
        <v/>
      </c>
      <c r="F310" s="10" t="str">
        <f t="shared" si="9"/>
        <v/>
      </c>
    </row>
    <row r="311" spans="3:6">
      <c r="C311" t="str">
        <f t="shared" si="8"/>
        <v/>
      </c>
      <c r="D311" s="10" t="str">
        <f>IF(A311="","",SUMIFS('Sales Log'!$G$3:$G$2002,'Sales Log'!$A$3:$A$2002,A311))</f>
        <v/>
      </c>
      <c r="E311" s="10" t="str">
        <f>IF(A311="","",SUMIFS('Shop Expenses'!$D$3:$D$2002,'Shop Expenses'!$A$3:$A$2002,A311)+SUMIFS('Farm Costs'!$D$3:$D$2002,'Farm Costs'!$A$3:$A$2002,A311))</f>
        <v/>
      </c>
      <c r="F311" s="10" t="str">
        <f t="shared" si="9"/>
        <v/>
      </c>
    </row>
    <row r="312" spans="3:6">
      <c r="C312" t="str">
        <f t="shared" si="8"/>
        <v/>
      </c>
      <c r="D312" s="10" t="str">
        <f>IF(A312="","",SUMIFS('Sales Log'!$G$3:$G$2002,'Sales Log'!$A$3:$A$2002,A312))</f>
        <v/>
      </c>
      <c r="E312" s="10" t="str">
        <f>IF(A312="","",SUMIFS('Shop Expenses'!$D$3:$D$2002,'Shop Expenses'!$A$3:$A$2002,A312)+SUMIFS('Farm Costs'!$D$3:$D$2002,'Farm Costs'!$A$3:$A$2002,A312))</f>
        <v/>
      </c>
      <c r="F312" s="10" t="str">
        <f t="shared" si="9"/>
        <v/>
      </c>
    </row>
    <row r="313" spans="3:6">
      <c r="C313" t="str">
        <f t="shared" si="8"/>
        <v/>
      </c>
      <c r="D313" s="10" t="str">
        <f>IF(A313="","",SUMIFS('Sales Log'!$G$3:$G$2002,'Sales Log'!$A$3:$A$2002,A313))</f>
        <v/>
      </c>
      <c r="E313" s="10" t="str">
        <f>IF(A313="","",SUMIFS('Shop Expenses'!$D$3:$D$2002,'Shop Expenses'!$A$3:$A$2002,A313)+SUMIFS('Farm Costs'!$D$3:$D$2002,'Farm Costs'!$A$3:$A$2002,A313))</f>
        <v/>
      </c>
      <c r="F313" s="10" t="str">
        <f t="shared" si="9"/>
        <v/>
      </c>
    </row>
    <row r="314" spans="3:6">
      <c r="C314" t="str">
        <f t="shared" si="8"/>
        <v/>
      </c>
      <c r="D314" s="10" t="str">
        <f>IF(A314="","",SUMIFS('Sales Log'!$G$3:$G$2002,'Sales Log'!$A$3:$A$2002,A314))</f>
        <v/>
      </c>
      <c r="E314" s="10" t="str">
        <f>IF(A314="","",SUMIFS('Shop Expenses'!$D$3:$D$2002,'Shop Expenses'!$A$3:$A$2002,A314)+SUMIFS('Farm Costs'!$D$3:$D$2002,'Farm Costs'!$A$3:$A$2002,A314))</f>
        <v/>
      </c>
      <c r="F314" s="10" t="str">
        <f t="shared" si="9"/>
        <v/>
      </c>
    </row>
    <row r="315" spans="3:6">
      <c r="C315" t="str">
        <f t="shared" si="8"/>
        <v/>
      </c>
      <c r="D315" s="10" t="str">
        <f>IF(A315="","",SUMIFS('Sales Log'!$G$3:$G$2002,'Sales Log'!$A$3:$A$2002,A315))</f>
        <v/>
      </c>
      <c r="E315" s="10" t="str">
        <f>IF(A315="","",SUMIFS('Shop Expenses'!$D$3:$D$2002,'Shop Expenses'!$A$3:$A$2002,A315)+SUMIFS('Farm Costs'!$D$3:$D$2002,'Farm Costs'!$A$3:$A$2002,A315))</f>
        <v/>
      </c>
      <c r="F315" s="10" t="str">
        <f t="shared" si="9"/>
        <v/>
      </c>
    </row>
    <row r="316" spans="3:6">
      <c r="C316" t="str">
        <f t="shared" si="8"/>
        <v/>
      </c>
      <c r="D316" s="10" t="str">
        <f>IF(A316="","",SUMIFS('Sales Log'!$G$3:$G$2002,'Sales Log'!$A$3:$A$2002,A316))</f>
        <v/>
      </c>
      <c r="E316" s="10" t="str">
        <f>IF(A316="","",SUMIFS('Shop Expenses'!$D$3:$D$2002,'Shop Expenses'!$A$3:$A$2002,A316)+SUMIFS('Farm Costs'!$D$3:$D$2002,'Farm Costs'!$A$3:$A$2002,A316))</f>
        <v/>
      </c>
      <c r="F316" s="10" t="str">
        <f t="shared" si="9"/>
        <v/>
      </c>
    </row>
    <row r="317" spans="3:6">
      <c r="C317" t="str">
        <f t="shared" si="8"/>
        <v/>
      </c>
      <c r="D317" s="10" t="str">
        <f>IF(A317="","",SUMIFS('Sales Log'!$G$3:$G$2002,'Sales Log'!$A$3:$A$2002,A317))</f>
        <v/>
      </c>
      <c r="E317" s="10" t="str">
        <f>IF(A317="","",SUMIFS('Shop Expenses'!$D$3:$D$2002,'Shop Expenses'!$A$3:$A$2002,A317)+SUMIFS('Farm Costs'!$D$3:$D$2002,'Farm Costs'!$A$3:$A$2002,A317))</f>
        <v/>
      </c>
      <c r="F317" s="10" t="str">
        <f t="shared" si="9"/>
        <v/>
      </c>
    </row>
    <row r="318" spans="3:6">
      <c r="C318" t="str">
        <f t="shared" si="8"/>
        <v/>
      </c>
      <c r="D318" s="10" t="str">
        <f>IF(A318="","",SUMIFS('Sales Log'!$G$3:$G$2002,'Sales Log'!$A$3:$A$2002,A318))</f>
        <v/>
      </c>
      <c r="E318" s="10" t="str">
        <f>IF(A318="","",SUMIFS('Shop Expenses'!$D$3:$D$2002,'Shop Expenses'!$A$3:$A$2002,A318)+SUMIFS('Farm Costs'!$D$3:$D$2002,'Farm Costs'!$A$3:$A$2002,A318))</f>
        <v/>
      </c>
      <c r="F318" s="10" t="str">
        <f t="shared" si="9"/>
        <v/>
      </c>
    </row>
    <row r="319" spans="3:6">
      <c r="C319" t="str">
        <f t="shared" si="8"/>
        <v/>
      </c>
      <c r="D319" s="10" t="str">
        <f>IF(A319="","",SUMIFS('Sales Log'!$G$3:$G$2002,'Sales Log'!$A$3:$A$2002,A319))</f>
        <v/>
      </c>
      <c r="E319" s="10" t="str">
        <f>IF(A319="","",SUMIFS('Shop Expenses'!$D$3:$D$2002,'Shop Expenses'!$A$3:$A$2002,A319)+SUMIFS('Farm Costs'!$D$3:$D$2002,'Farm Costs'!$A$3:$A$2002,A319))</f>
        <v/>
      </c>
      <c r="F319" s="10" t="str">
        <f t="shared" si="9"/>
        <v/>
      </c>
    </row>
    <row r="320" spans="3:6">
      <c r="C320" t="str">
        <f t="shared" si="8"/>
        <v/>
      </c>
      <c r="D320" s="10" t="str">
        <f>IF(A320="","",SUMIFS('Sales Log'!$G$3:$G$2002,'Sales Log'!$A$3:$A$2002,A320))</f>
        <v/>
      </c>
      <c r="E320" s="10" t="str">
        <f>IF(A320="","",SUMIFS('Shop Expenses'!$D$3:$D$2002,'Shop Expenses'!$A$3:$A$2002,A320)+SUMIFS('Farm Costs'!$D$3:$D$2002,'Farm Costs'!$A$3:$A$2002,A320))</f>
        <v/>
      </c>
      <c r="F320" s="10" t="str">
        <f t="shared" si="9"/>
        <v/>
      </c>
    </row>
    <row r="321" spans="3:6">
      <c r="C321" t="str">
        <f t="shared" si="8"/>
        <v/>
      </c>
      <c r="D321" s="10" t="str">
        <f>IF(A321="","",SUMIFS('Sales Log'!$G$3:$G$2002,'Sales Log'!$A$3:$A$2002,A321))</f>
        <v/>
      </c>
      <c r="E321" s="10" t="str">
        <f>IF(A321="","",SUMIFS('Shop Expenses'!$D$3:$D$2002,'Shop Expenses'!$A$3:$A$2002,A321)+SUMIFS('Farm Costs'!$D$3:$D$2002,'Farm Costs'!$A$3:$A$2002,A321))</f>
        <v/>
      </c>
      <c r="F321" s="10" t="str">
        <f t="shared" si="9"/>
        <v/>
      </c>
    </row>
    <row r="322" spans="3:6">
      <c r="C322" t="str">
        <f t="shared" si="8"/>
        <v/>
      </c>
      <c r="D322" s="10" t="str">
        <f>IF(A322="","",SUMIFS('Sales Log'!$G$3:$G$2002,'Sales Log'!$A$3:$A$2002,A322))</f>
        <v/>
      </c>
      <c r="E322" s="10" t="str">
        <f>IF(A322="","",SUMIFS('Shop Expenses'!$D$3:$D$2002,'Shop Expenses'!$A$3:$A$2002,A322)+SUMIFS('Farm Costs'!$D$3:$D$2002,'Farm Costs'!$A$3:$A$2002,A322))</f>
        <v/>
      </c>
      <c r="F322" s="10" t="str">
        <f t="shared" si="9"/>
        <v/>
      </c>
    </row>
    <row r="323" spans="3:6">
      <c r="C323" t="str">
        <f t="shared" si="8"/>
        <v/>
      </c>
      <c r="D323" s="10" t="str">
        <f>IF(A323="","",SUMIFS('Sales Log'!$G$3:$G$2002,'Sales Log'!$A$3:$A$2002,A323))</f>
        <v/>
      </c>
      <c r="E323" s="10" t="str">
        <f>IF(A323="","",SUMIFS('Shop Expenses'!$D$3:$D$2002,'Shop Expenses'!$A$3:$A$2002,A323)+SUMIFS('Farm Costs'!$D$3:$D$2002,'Farm Costs'!$A$3:$A$2002,A323))</f>
        <v/>
      </c>
      <c r="F323" s="10" t="str">
        <f t="shared" si="9"/>
        <v/>
      </c>
    </row>
    <row r="324" spans="3:6">
      <c r="C324" t="str">
        <f t="shared" si="8"/>
        <v/>
      </c>
      <c r="D324" s="10" t="str">
        <f>IF(A324="","",SUMIFS('Sales Log'!$G$3:$G$2002,'Sales Log'!$A$3:$A$2002,A324))</f>
        <v/>
      </c>
      <c r="E324" s="10" t="str">
        <f>IF(A324="","",SUMIFS('Shop Expenses'!$D$3:$D$2002,'Shop Expenses'!$A$3:$A$2002,A324)+SUMIFS('Farm Costs'!$D$3:$D$2002,'Farm Costs'!$A$3:$A$2002,A324))</f>
        <v/>
      </c>
      <c r="F324" s="10" t="str">
        <f t="shared" si="9"/>
        <v/>
      </c>
    </row>
    <row r="325" spans="3:6">
      <c r="C325" t="str">
        <f t="shared" ref="C325:C388" si="10">IF(A325="","","Daily Sales")</f>
        <v/>
      </c>
      <c r="D325" s="10" t="str">
        <f>IF(A325="","",SUMIFS('Sales Log'!$G$3:$G$2002,'Sales Log'!$A$3:$A$2002,A325))</f>
        <v/>
      </c>
      <c r="E325" s="10" t="str">
        <f>IF(A325="","",SUMIFS('Shop Expenses'!$D$3:$D$2002,'Shop Expenses'!$A$3:$A$2002,A325)+SUMIFS('Farm Costs'!$D$3:$D$2002,'Farm Costs'!$A$3:$A$2002,A325))</f>
        <v/>
      </c>
      <c r="F325" s="10" t="str">
        <f t="shared" si="9"/>
        <v/>
      </c>
    </row>
    <row r="326" spans="3:6">
      <c r="C326" t="str">
        <f t="shared" si="10"/>
        <v/>
      </c>
      <c r="D326" s="10" t="str">
        <f>IF(A326="","",SUMIFS('Sales Log'!$G$3:$G$2002,'Sales Log'!$A$3:$A$2002,A326))</f>
        <v/>
      </c>
      <c r="E326" s="10" t="str">
        <f>IF(A326="","",SUMIFS('Shop Expenses'!$D$3:$D$2002,'Shop Expenses'!$A$3:$A$2002,A326)+SUMIFS('Farm Costs'!$D$3:$D$2002,'Farm Costs'!$A$3:$A$2002,A326))</f>
        <v/>
      </c>
      <c r="F326" s="10" t="str">
        <f t="shared" ref="F326:F389" si="11">IF(A326="","",F325+D326-E326)</f>
        <v/>
      </c>
    </row>
    <row r="327" spans="3:6">
      <c r="C327" t="str">
        <f t="shared" si="10"/>
        <v/>
      </c>
      <c r="D327" s="10" t="str">
        <f>IF(A327="","",SUMIFS('Sales Log'!$G$3:$G$2002,'Sales Log'!$A$3:$A$2002,A327))</f>
        <v/>
      </c>
      <c r="E327" s="10" t="str">
        <f>IF(A327="","",SUMIFS('Shop Expenses'!$D$3:$D$2002,'Shop Expenses'!$A$3:$A$2002,A327)+SUMIFS('Farm Costs'!$D$3:$D$2002,'Farm Costs'!$A$3:$A$2002,A327))</f>
        <v/>
      </c>
      <c r="F327" s="10" t="str">
        <f t="shared" si="11"/>
        <v/>
      </c>
    </row>
    <row r="328" spans="3:6">
      <c r="C328" t="str">
        <f t="shared" si="10"/>
        <v/>
      </c>
      <c r="D328" s="10" t="str">
        <f>IF(A328="","",SUMIFS('Sales Log'!$G$3:$G$2002,'Sales Log'!$A$3:$A$2002,A328))</f>
        <v/>
      </c>
      <c r="E328" s="10" t="str">
        <f>IF(A328="","",SUMIFS('Shop Expenses'!$D$3:$D$2002,'Shop Expenses'!$A$3:$A$2002,A328)+SUMIFS('Farm Costs'!$D$3:$D$2002,'Farm Costs'!$A$3:$A$2002,A328))</f>
        <v/>
      </c>
      <c r="F328" s="10" t="str">
        <f t="shared" si="11"/>
        <v/>
      </c>
    </row>
    <row r="329" spans="3:6">
      <c r="C329" t="str">
        <f t="shared" si="10"/>
        <v/>
      </c>
      <c r="D329" s="10" t="str">
        <f>IF(A329="","",SUMIFS('Sales Log'!$G$3:$G$2002,'Sales Log'!$A$3:$A$2002,A329))</f>
        <v/>
      </c>
      <c r="E329" s="10" t="str">
        <f>IF(A329="","",SUMIFS('Shop Expenses'!$D$3:$D$2002,'Shop Expenses'!$A$3:$A$2002,A329)+SUMIFS('Farm Costs'!$D$3:$D$2002,'Farm Costs'!$A$3:$A$2002,A329))</f>
        <v/>
      </c>
      <c r="F329" s="10" t="str">
        <f t="shared" si="11"/>
        <v/>
      </c>
    </row>
    <row r="330" spans="3:6">
      <c r="C330" t="str">
        <f t="shared" si="10"/>
        <v/>
      </c>
      <c r="D330" s="10" t="str">
        <f>IF(A330="","",SUMIFS('Sales Log'!$G$3:$G$2002,'Sales Log'!$A$3:$A$2002,A330))</f>
        <v/>
      </c>
      <c r="E330" s="10" t="str">
        <f>IF(A330="","",SUMIFS('Shop Expenses'!$D$3:$D$2002,'Shop Expenses'!$A$3:$A$2002,A330)+SUMIFS('Farm Costs'!$D$3:$D$2002,'Farm Costs'!$A$3:$A$2002,A330))</f>
        <v/>
      </c>
      <c r="F330" s="10" t="str">
        <f t="shared" si="11"/>
        <v/>
      </c>
    </row>
    <row r="331" spans="3:6">
      <c r="C331" t="str">
        <f t="shared" si="10"/>
        <v/>
      </c>
      <c r="D331" s="10" t="str">
        <f>IF(A331="","",SUMIFS('Sales Log'!$G$3:$G$2002,'Sales Log'!$A$3:$A$2002,A331))</f>
        <v/>
      </c>
      <c r="E331" s="10" t="str">
        <f>IF(A331="","",SUMIFS('Shop Expenses'!$D$3:$D$2002,'Shop Expenses'!$A$3:$A$2002,A331)+SUMIFS('Farm Costs'!$D$3:$D$2002,'Farm Costs'!$A$3:$A$2002,A331))</f>
        <v/>
      </c>
      <c r="F331" s="10" t="str">
        <f t="shared" si="11"/>
        <v/>
      </c>
    </row>
    <row r="332" spans="3:6">
      <c r="C332" t="str">
        <f t="shared" si="10"/>
        <v/>
      </c>
      <c r="D332" s="10" t="str">
        <f>IF(A332="","",SUMIFS('Sales Log'!$G$3:$G$2002,'Sales Log'!$A$3:$A$2002,A332))</f>
        <v/>
      </c>
      <c r="E332" s="10" t="str">
        <f>IF(A332="","",SUMIFS('Shop Expenses'!$D$3:$D$2002,'Shop Expenses'!$A$3:$A$2002,A332)+SUMIFS('Farm Costs'!$D$3:$D$2002,'Farm Costs'!$A$3:$A$2002,A332))</f>
        <v/>
      </c>
      <c r="F332" s="10" t="str">
        <f t="shared" si="11"/>
        <v/>
      </c>
    </row>
    <row r="333" spans="3:6">
      <c r="C333" t="str">
        <f t="shared" si="10"/>
        <v/>
      </c>
      <c r="D333" s="10" t="str">
        <f>IF(A333="","",SUMIFS('Sales Log'!$G$3:$G$2002,'Sales Log'!$A$3:$A$2002,A333))</f>
        <v/>
      </c>
      <c r="E333" s="10" t="str">
        <f>IF(A333="","",SUMIFS('Shop Expenses'!$D$3:$D$2002,'Shop Expenses'!$A$3:$A$2002,A333)+SUMIFS('Farm Costs'!$D$3:$D$2002,'Farm Costs'!$A$3:$A$2002,A333))</f>
        <v/>
      </c>
      <c r="F333" s="10" t="str">
        <f t="shared" si="11"/>
        <v/>
      </c>
    </row>
    <row r="334" spans="3:6">
      <c r="C334" t="str">
        <f t="shared" si="10"/>
        <v/>
      </c>
      <c r="D334" s="10" t="str">
        <f>IF(A334="","",SUMIFS('Sales Log'!$G$3:$G$2002,'Sales Log'!$A$3:$A$2002,A334))</f>
        <v/>
      </c>
      <c r="E334" s="10" t="str">
        <f>IF(A334="","",SUMIFS('Shop Expenses'!$D$3:$D$2002,'Shop Expenses'!$A$3:$A$2002,A334)+SUMIFS('Farm Costs'!$D$3:$D$2002,'Farm Costs'!$A$3:$A$2002,A334))</f>
        <v/>
      </c>
      <c r="F334" s="10" t="str">
        <f t="shared" si="11"/>
        <v/>
      </c>
    </row>
    <row r="335" spans="3:6">
      <c r="C335" t="str">
        <f t="shared" si="10"/>
        <v/>
      </c>
      <c r="D335" s="10" t="str">
        <f>IF(A335="","",SUMIFS('Sales Log'!$G$3:$G$2002,'Sales Log'!$A$3:$A$2002,A335))</f>
        <v/>
      </c>
      <c r="E335" s="10" t="str">
        <f>IF(A335="","",SUMIFS('Shop Expenses'!$D$3:$D$2002,'Shop Expenses'!$A$3:$A$2002,A335)+SUMIFS('Farm Costs'!$D$3:$D$2002,'Farm Costs'!$A$3:$A$2002,A335))</f>
        <v/>
      </c>
      <c r="F335" s="10" t="str">
        <f t="shared" si="11"/>
        <v/>
      </c>
    </row>
    <row r="336" spans="3:6">
      <c r="C336" t="str">
        <f t="shared" si="10"/>
        <v/>
      </c>
      <c r="D336" s="10" t="str">
        <f>IF(A336="","",SUMIFS('Sales Log'!$G$3:$G$2002,'Sales Log'!$A$3:$A$2002,A336))</f>
        <v/>
      </c>
      <c r="E336" s="10" t="str">
        <f>IF(A336="","",SUMIFS('Shop Expenses'!$D$3:$D$2002,'Shop Expenses'!$A$3:$A$2002,A336)+SUMIFS('Farm Costs'!$D$3:$D$2002,'Farm Costs'!$A$3:$A$2002,A336))</f>
        <v/>
      </c>
      <c r="F336" s="10" t="str">
        <f t="shared" si="11"/>
        <v/>
      </c>
    </row>
    <row r="337" spans="3:6">
      <c r="C337" t="str">
        <f t="shared" si="10"/>
        <v/>
      </c>
      <c r="D337" s="10" t="str">
        <f>IF(A337="","",SUMIFS('Sales Log'!$G$3:$G$2002,'Sales Log'!$A$3:$A$2002,A337))</f>
        <v/>
      </c>
      <c r="E337" s="10" t="str">
        <f>IF(A337="","",SUMIFS('Shop Expenses'!$D$3:$D$2002,'Shop Expenses'!$A$3:$A$2002,A337)+SUMIFS('Farm Costs'!$D$3:$D$2002,'Farm Costs'!$A$3:$A$2002,A337))</f>
        <v/>
      </c>
      <c r="F337" s="10" t="str">
        <f t="shared" si="11"/>
        <v/>
      </c>
    </row>
    <row r="338" spans="3:6">
      <c r="C338" t="str">
        <f t="shared" si="10"/>
        <v/>
      </c>
      <c r="D338" s="10" t="str">
        <f>IF(A338="","",SUMIFS('Sales Log'!$G$3:$G$2002,'Sales Log'!$A$3:$A$2002,A338))</f>
        <v/>
      </c>
      <c r="E338" s="10" t="str">
        <f>IF(A338="","",SUMIFS('Shop Expenses'!$D$3:$D$2002,'Shop Expenses'!$A$3:$A$2002,A338)+SUMIFS('Farm Costs'!$D$3:$D$2002,'Farm Costs'!$A$3:$A$2002,A338))</f>
        <v/>
      </c>
      <c r="F338" s="10" t="str">
        <f t="shared" si="11"/>
        <v/>
      </c>
    </row>
    <row r="339" spans="3:6">
      <c r="C339" t="str">
        <f t="shared" si="10"/>
        <v/>
      </c>
      <c r="D339" s="10" t="str">
        <f>IF(A339="","",SUMIFS('Sales Log'!$G$3:$G$2002,'Sales Log'!$A$3:$A$2002,A339))</f>
        <v/>
      </c>
      <c r="E339" s="10" t="str">
        <f>IF(A339="","",SUMIFS('Shop Expenses'!$D$3:$D$2002,'Shop Expenses'!$A$3:$A$2002,A339)+SUMIFS('Farm Costs'!$D$3:$D$2002,'Farm Costs'!$A$3:$A$2002,A339))</f>
        <v/>
      </c>
      <c r="F339" s="10" t="str">
        <f t="shared" si="11"/>
        <v/>
      </c>
    </row>
    <row r="340" spans="3:6">
      <c r="C340" t="str">
        <f t="shared" si="10"/>
        <v/>
      </c>
      <c r="D340" s="10" t="str">
        <f>IF(A340="","",SUMIFS('Sales Log'!$G$3:$G$2002,'Sales Log'!$A$3:$A$2002,A340))</f>
        <v/>
      </c>
      <c r="E340" s="10" t="str">
        <f>IF(A340="","",SUMIFS('Shop Expenses'!$D$3:$D$2002,'Shop Expenses'!$A$3:$A$2002,A340)+SUMIFS('Farm Costs'!$D$3:$D$2002,'Farm Costs'!$A$3:$A$2002,A340))</f>
        <v/>
      </c>
      <c r="F340" s="10" t="str">
        <f t="shared" si="11"/>
        <v/>
      </c>
    </row>
    <row r="341" spans="3:6">
      <c r="C341" t="str">
        <f t="shared" si="10"/>
        <v/>
      </c>
      <c r="D341" s="10" t="str">
        <f>IF(A341="","",SUMIFS('Sales Log'!$G$3:$G$2002,'Sales Log'!$A$3:$A$2002,A341))</f>
        <v/>
      </c>
      <c r="E341" s="10" t="str">
        <f>IF(A341="","",SUMIFS('Shop Expenses'!$D$3:$D$2002,'Shop Expenses'!$A$3:$A$2002,A341)+SUMIFS('Farm Costs'!$D$3:$D$2002,'Farm Costs'!$A$3:$A$2002,A341))</f>
        <v/>
      </c>
      <c r="F341" s="10" t="str">
        <f t="shared" si="11"/>
        <v/>
      </c>
    </row>
    <row r="342" spans="3:6">
      <c r="C342" t="str">
        <f t="shared" si="10"/>
        <v/>
      </c>
      <c r="D342" s="10" t="str">
        <f>IF(A342="","",SUMIFS('Sales Log'!$G$3:$G$2002,'Sales Log'!$A$3:$A$2002,A342))</f>
        <v/>
      </c>
      <c r="E342" s="10" t="str">
        <f>IF(A342="","",SUMIFS('Shop Expenses'!$D$3:$D$2002,'Shop Expenses'!$A$3:$A$2002,A342)+SUMIFS('Farm Costs'!$D$3:$D$2002,'Farm Costs'!$A$3:$A$2002,A342))</f>
        <v/>
      </c>
      <c r="F342" s="10" t="str">
        <f t="shared" si="11"/>
        <v/>
      </c>
    </row>
    <row r="343" spans="3:6">
      <c r="C343" t="str">
        <f t="shared" si="10"/>
        <v/>
      </c>
      <c r="D343" s="10" t="str">
        <f>IF(A343="","",SUMIFS('Sales Log'!$G$3:$G$2002,'Sales Log'!$A$3:$A$2002,A343))</f>
        <v/>
      </c>
      <c r="E343" s="10" t="str">
        <f>IF(A343="","",SUMIFS('Shop Expenses'!$D$3:$D$2002,'Shop Expenses'!$A$3:$A$2002,A343)+SUMIFS('Farm Costs'!$D$3:$D$2002,'Farm Costs'!$A$3:$A$2002,A343))</f>
        <v/>
      </c>
      <c r="F343" s="10" t="str">
        <f t="shared" si="11"/>
        <v/>
      </c>
    </row>
    <row r="344" spans="3:6">
      <c r="C344" t="str">
        <f t="shared" si="10"/>
        <v/>
      </c>
      <c r="D344" s="10" t="str">
        <f>IF(A344="","",SUMIFS('Sales Log'!$G$3:$G$2002,'Sales Log'!$A$3:$A$2002,A344))</f>
        <v/>
      </c>
      <c r="E344" s="10" t="str">
        <f>IF(A344="","",SUMIFS('Shop Expenses'!$D$3:$D$2002,'Shop Expenses'!$A$3:$A$2002,A344)+SUMIFS('Farm Costs'!$D$3:$D$2002,'Farm Costs'!$A$3:$A$2002,A344))</f>
        <v/>
      </c>
      <c r="F344" s="10" t="str">
        <f t="shared" si="11"/>
        <v/>
      </c>
    </row>
    <row r="345" spans="3:6">
      <c r="C345" t="str">
        <f t="shared" si="10"/>
        <v/>
      </c>
      <c r="D345" s="10" t="str">
        <f>IF(A345="","",SUMIFS('Sales Log'!$G$3:$G$2002,'Sales Log'!$A$3:$A$2002,A345))</f>
        <v/>
      </c>
      <c r="E345" s="10" t="str">
        <f>IF(A345="","",SUMIFS('Shop Expenses'!$D$3:$D$2002,'Shop Expenses'!$A$3:$A$2002,A345)+SUMIFS('Farm Costs'!$D$3:$D$2002,'Farm Costs'!$A$3:$A$2002,A345))</f>
        <v/>
      </c>
      <c r="F345" s="10" t="str">
        <f t="shared" si="11"/>
        <v/>
      </c>
    </row>
    <row r="346" spans="3:6">
      <c r="C346" t="str">
        <f t="shared" si="10"/>
        <v/>
      </c>
      <c r="D346" s="10" t="str">
        <f>IF(A346="","",SUMIFS('Sales Log'!$G$3:$G$2002,'Sales Log'!$A$3:$A$2002,A346))</f>
        <v/>
      </c>
      <c r="E346" s="10" t="str">
        <f>IF(A346="","",SUMIFS('Shop Expenses'!$D$3:$D$2002,'Shop Expenses'!$A$3:$A$2002,A346)+SUMIFS('Farm Costs'!$D$3:$D$2002,'Farm Costs'!$A$3:$A$2002,A346))</f>
        <v/>
      </c>
      <c r="F346" s="10" t="str">
        <f t="shared" si="11"/>
        <v/>
      </c>
    </row>
    <row r="347" spans="3:6">
      <c r="C347" t="str">
        <f t="shared" si="10"/>
        <v/>
      </c>
      <c r="D347" s="10" t="str">
        <f>IF(A347="","",SUMIFS('Sales Log'!$G$3:$G$2002,'Sales Log'!$A$3:$A$2002,A347))</f>
        <v/>
      </c>
      <c r="E347" s="10" t="str">
        <f>IF(A347="","",SUMIFS('Shop Expenses'!$D$3:$D$2002,'Shop Expenses'!$A$3:$A$2002,A347)+SUMIFS('Farm Costs'!$D$3:$D$2002,'Farm Costs'!$A$3:$A$2002,A347))</f>
        <v/>
      </c>
      <c r="F347" s="10" t="str">
        <f t="shared" si="11"/>
        <v/>
      </c>
    </row>
    <row r="348" spans="3:6">
      <c r="C348" t="str">
        <f t="shared" si="10"/>
        <v/>
      </c>
      <c r="D348" s="10" t="str">
        <f>IF(A348="","",SUMIFS('Sales Log'!$G$3:$G$2002,'Sales Log'!$A$3:$A$2002,A348))</f>
        <v/>
      </c>
      <c r="E348" s="10" t="str">
        <f>IF(A348="","",SUMIFS('Shop Expenses'!$D$3:$D$2002,'Shop Expenses'!$A$3:$A$2002,A348)+SUMIFS('Farm Costs'!$D$3:$D$2002,'Farm Costs'!$A$3:$A$2002,A348))</f>
        <v/>
      </c>
      <c r="F348" s="10" t="str">
        <f t="shared" si="11"/>
        <v/>
      </c>
    </row>
    <row r="349" spans="3:6">
      <c r="C349" t="str">
        <f t="shared" si="10"/>
        <v/>
      </c>
      <c r="D349" s="10" t="str">
        <f>IF(A349="","",SUMIFS('Sales Log'!$G$3:$G$2002,'Sales Log'!$A$3:$A$2002,A349))</f>
        <v/>
      </c>
      <c r="E349" s="10" t="str">
        <f>IF(A349="","",SUMIFS('Shop Expenses'!$D$3:$D$2002,'Shop Expenses'!$A$3:$A$2002,A349)+SUMIFS('Farm Costs'!$D$3:$D$2002,'Farm Costs'!$A$3:$A$2002,A349))</f>
        <v/>
      </c>
      <c r="F349" s="10" t="str">
        <f t="shared" si="11"/>
        <v/>
      </c>
    </row>
    <row r="350" spans="3:6">
      <c r="C350" t="str">
        <f t="shared" si="10"/>
        <v/>
      </c>
      <c r="D350" s="10" t="str">
        <f>IF(A350="","",SUMIFS('Sales Log'!$G$3:$G$2002,'Sales Log'!$A$3:$A$2002,A350))</f>
        <v/>
      </c>
      <c r="E350" s="10" t="str">
        <f>IF(A350="","",SUMIFS('Shop Expenses'!$D$3:$D$2002,'Shop Expenses'!$A$3:$A$2002,A350)+SUMIFS('Farm Costs'!$D$3:$D$2002,'Farm Costs'!$A$3:$A$2002,A350))</f>
        <v/>
      </c>
      <c r="F350" s="10" t="str">
        <f t="shared" si="11"/>
        <v/>
      </c>
    </row>
    <row r="351" spans="3:6">
      <c r="C351" t="str">
        <f t="shared" si="10"/>
        <v/>
      </c>
      <c r="D351" s="10" t="str">
        <f>IF(A351="","",SUMIFS('Sales Log'!$G$3:$G$2002,'Sales Log'!$A$3:$A$2002,A351))</f>
        <v/>
      </c>
      <c r="E351" s="10" t="str">
        <f>IF(A351="","",SUMIFS('Shop Expenses'!$D$3:$D$2002,'Shop Expenses'!$A$3:$A$2002,A351)+SUMIFS('Farm Costs'!$D$3:$D$2002,'Farm Costs'!$A$3:$A$2002,A351))</f>
        <v/>
      </c>
      <c r="F351" s="10" t="str">
        <f t="shared" si="11"/>
        <v/>
      </c>
    </row>
    <row r="352" spans="3:6">
      <c r="C352" t="str">
        <f t="shared" si="10"/>
        <v/>
      </c>
      <c r="D352" s="10" t="str">
        <f>IF(A352="","",SUMIFS('Sales Log'!$G$3:$G$2002,'Sales Log'!$A$3:$A$2002,A352))</f>
        <v/>
      </c>
      <c r="E352" s="10" t="str">
        <f>IF(A352="","",SUMIFS('Shop Expenses'!$D$3:$D$2002,'Shop Expenses'!$A$3:$A$2002,A352)+SUMIFS('Farm Costs'!$D$3:$D$2002,'Farm Costs'!$A$3:$A$2002,A352))</f>
        <v/>
      </c>
      <c r="F352" s="10" t="str">
        <f t="shared" si="11"/>
        <v/>
      </c>
    </row>
    <row r="353" spans="3:6">
      <c r="C353" t="str">
        <f t="shared" si="10"/>
        <v/>
      </c>
      <c r="D353" s="10" t="str">
        <f>IF(A353="","",SUMIFS('Sales Log'!$G$3:$G$2002,'Sales Log'!$A$3:$A$2002,A353))</f>
        <v/>
      </c>
      <c r="E353" s="10" t="str">
        <f>IF(A353="","",SUMIFS('Shop Expenses'!$D$3:$D$2002,'Shop Expenses'!$A$3:$A$2002,A353)+SUMIFS('Farm Costs'!$D$3:$D$2002,'Farm Costs'!$A$3:$A$2002,A353))</f>
        <v/>
      </c>
      <c r="F353" s="10" t="str">
        <f t="shared" si="11"/>
        <v/>
      </c>
    </row>
    <row r="354" spans="3:6">
      <c r="C354" t="str">
        <f t="shared" si="10"/>
        <v/>
      </c>
      <c r="D354" s="10" t="str">
        <f>IF(A354="","",SUMIFS('Sales Log'!$G$3:$G$2002,'Sales Log'!$A$3:$A$2002,A354))</f>
        <v/>
      </c>
      <c r="E354" s="10" t="str">
        <f>IF(A354="","",SUMIFS('Shop Expenses'!$D$3:$D$2002,'Shop Expenses'!$A$3:$A$2002,A354)+SUMIFS('Farm Costs'!$D$3:$D$2002,'Farm Costs'!$A$3:$A$2002,A354))</f>
        <v/>
      </c>
      <c r="F354" s="10" t="str">
        <f t="shared" si="11"/>
        <v/>
      </c>
    </row>
    <row r="355" spans="3:6">
      <c r="C355" t="str">
        <f t="shared" si="10"/>
        <v/>
      </c>
      <c r="D355" s="10" t="str">
        <f>IF(A355="","",SUMIFS('Sales Log'!$G$3:$G$2002,'Sales Log'!$A$3:$A$2002,A355))</f>
        <v/>
      </c>
      <c r="E355" s="10" t="str">
        <f>IF(A355="","",SUMIFS('Shop Expenses'!$D$3:$D$2002,'Shop Expenses'!$A$3:$A$2002,A355)+SUMIFS('Farm Costs'!$D$3:$D$2002,'Farm Costs'!$A$3:$A$2002,A355))</f>
        <v/>
      </c>
      <c r="F355" s="10" t="str">
        <f t="shared" si="11"/>
        <v/>
      </c>
    </row>
    <row r="356" spans="3:6">
      <c r="C356" t="str">
        <f t="shared" si="10"/>
        <v/>
      </c>
      <c r="D356" s="10" t="str">
        <f>IF(A356="","",SUMIFS('Sales Log'!$G$3:$G$2002,'Sales Log'!$A$3:$A$2002,A356))</f>
        <v/>
      </c>
      <c r="E356" s="10" t="str">
        <f>IF(A356="","",SUMIFS('Shop Expenses'!$D$3:$D$2002,'Shop Expenses'!$A$3:$A$2002,A356)+SUMIFS('Farm Costs'!$D$3:$D$2002,'Farm Costs'!$A$3:$A$2002,A356))</f>
        <v/>
      </c>
      <c r="F356" s="10" t="str">
        <f t="shared" si="11"/>
        <v/>
      </c>
    </row>
    <row r="357" spans="3:6">
      <c r="C357" t="str">
        <f t="shared" si="10"/>
        <v/>
      </c>
      <c r="D357" s="10" t="str">
        <f>IF(A357="","",SUMIFS('Sales Log'!$G$3:$G$2002,'Sales Log'!$A$3:$A$2002,A357))</f>
        <v/>
      </c>
      <c r="E357" s="10" t="str">
        <f>IF(A357="","",SUMIFS('Shop Expenses'!$D$3:$D$2002,'Shop Expenses'!$A$3:$A$2002,A357)+SUMIFS('Farm Costs'!$D$3:$D$2002,'Farm Costs'!$A$3:$A$2002,A357))</f>
        <v/>
      </c>
      <c r="F357" s="10" t="str">
        <f t="shared" si="11"/>
        <v/>
      </c>
    </row>
    <row r="358" spans="3:6">
      <c r="C358" t="str">
        <f t="shared" si="10"/>
        <v/>
      </c>
      <c r="D358" s="10" t="str">
        <f>IF(A358="","",SUMIFS('Sales Log'!$G$3:$G$2002,'Sales Log'!$A$3:$A$2002,A358))</f>
        <v/>
      </c>
      <c r="E358" s="10" t="str">
        <f>IF(A358="","",SUMIFS('Shop Expenses'!$D$3:$D$2002,'Shop Expenses'!$A$3:$A$2002,A358)+SUMIFS('Farm Costs'!$D$3:$D$2002,'Farm Costs'!$A$3:$A$2002,A358))</f>
        <v/>
      </c>
      <c r="F358" s="10" t="str">
        <f t="shared" si="11"/>
        <v/>
      </c>
    </row>
    <row r="359" spans="3:6">
      <c r="C359" t="str">
        <f t="shared" si="10"/>
        <v/>
      </c>
      <c r="D359" s="10" t="str">
        <f>IF(A359="","",SUMIFS('Sales Log'!$G$3:$G$2002,'Sales Log'!$A$3:$A$2002,A359))</f>
        <v/>
      </c>
      <c r="E359" s="10" t="str">
        <f>IF(A359="","",SUMIFS('Shop Expenses'!$D$3:$D$2002,'Shop Expenses'!$A$3:$A$2002,A359)+SUMIFS('Farm Costs'!$D$3:$D$2002,'Farm Costs'!$A$3:$A$2002,A359))</f>
        <v/>
      </c>
      <c r="F359" s="10" t="str">
        <f t="shared" si="11"/>
        <v/>
      </c>
    </row>
    <row r="360" spans="3:6">
      <c r="C360" t="str">
        <f t="shared" si="10"/>
        <v/>
      </c>
      <c r="D360" s="10" t="str">
        <f>IF(A360="","",SUMIFS('Sales Log'!$G$3:$G$2002,'Sales Log'!$A$3:$A$2002,A360))</f>
        <v/>
      </c>
      <c r="E360" s="10" t="str">
        <f>IF(A360="","",SUMIFS('Shop Expenses'!$D$3:$D$2002,'Shop Expenses'!$A$3:$A$2002,A360)+SUMIFS('Farm Costs'!$D$3:$D$2002,'Farm Costs'!$A$3:$A$2002,A360))</f>
        <v/>
      </c>
      <c r="F360" s="10" t="str">
        <f t="shared" si="11"/>
        <v/>
      </c>
    </row>
    <row r="361" spans="3:6">
      <c r="C361" t="str">
        <f t="shared" si="10"/>
        <v/>
      </c>
      <c r="D361" s="10" t="str">
        <f>IF(A361="","",SUMIFS('Sales Log'!$G$3:$G$2002,'Sales Log'!$A$3:$A$2002,A361))</f>
        <v/>
      </c>
      <c r="E361" s="10" t="str">
        <f>IF(A361="","",SUMIFS('Shop Expenses'!$D$3:$D$2002,'Shop Expenses'!$A$3:$A$2002,A361)+SUMIFS('Farm Costs'!$D$3:$D$2002,'Farm Costs'!$A$3:$A$2002,A361))</f>
        <v/>
      </c>
      <c r="F361" s="10" t="str">
        <f t="shared" si="11"/>
        <v/>
      </c>
    </row>
    <row r="362" spans="3:6">
      <c r="C362" t="str">
        <f t="shared" si="10"/>
        <v/>
      </c>
      <c r="D362" s="10" t="str">
        <f>IF(A362="","",SUMIFS('Sales Log'!$G$3:$G$2002,'Sales Log'!$A$3:$A$2002,A362))</f>
        <v/>
      </c>
      <c r="E362" s="10" t="str">
        <f>IF(A362="","",SUMIFS('Shop Expenses'!$D$3:$D$2002,'Shop Expenses'!$A$3:$A$2002,A362)+SUMIFS('Farm Costs'!$D$3:$D$2002,'Farm Costs'!$A$3:$A$2002,A362))</f>
        <v/>
      </c>
      <c r="F362" s="10" t="str">
        <f t="shared" si="11"/>
        <v/>
      </c>
    </row>
    <row r="363" spans="3:6">
      <c r="C363" t="str">
        <f t="shared" si="10"/>
        <v/>
      </c>
      <c r="D363" s="10" t="str">
        <f>IF(A363="","",SUMIFS('Sales Log'!$G$3:$G$2002,'Sales Log'!$A$3:$A$2002,A363))</f>
        <v/>
      </c>
      <c r="E363" s="10" t="str">
        <f>IF(A363="","",SUMIFS('Shop Expenses'!$D$3:$D$2002,'Shop Expenses'!$A$3:$A$2002,A363)+SUMIFS('Farm Costs'!$D$3:$D$2002,'Farm Costs'!$A$3:$A$2002,A363))</f>
        <v/>
      </c>
      <c r="F363" s="10" t="str">
        <f t="shared" si="11"/>
        <v/>
      </c>
    </row>
    <row r="364" spans="3:6">
      <c r="C364" t="str">
        <f t="shared" si="10"/>
        <v/>
      </c>
      <c r="D364" s="10" t="str">
        <f>IF(A364="","",SUMIFS('Sales Log'!$G$3:$G$2002,'Sales Log'!$A$3:$A$2002,A364))</f>
        <v/>
      </c>
      <c r="E364" s="10" t="str">
        <f>IF(A364="","",SUMIFS('Shop Expenses'!$D$3:$D$2002,'Shop Expenses'!$A$3:$A$2002,A364)+SUMIFS('Farm Costs'!$D$3:$D$2002,'Farm Costs'!$A$3:$A$2002,A364))</f>
        <v/>
      </c>
      <c r="F364" s="10" t="str">
        <f t="shared" si="11"/>
        <v/>
      </c>
    </row>
    <row r="365" spans="3:6">
      <c r="C365" t="str">
        <f t="shared" si="10"/>
        <v/>
      </c>
      <c r="D365" s="10" t="str">
        <f>IF(A365="","",SUMIFS('Sales Log'!$G$3:$G$2002,'Sales Log'!$A$3:$A$2002,A365))</f>
        <v/>
      </c>
      <c r="E365" s="10" t="str">
        <f>IF(A365="","",SUMIFS('Shop Expenses'!$D$3:$D$2002,'Shop Expenses'!$A$3:$A$2002,A365)+SUMIFS('Farm Costs'!$D$3:$D$2002,'Farm Costs'!$A$3:$A$2002,A365))</f>
        <v/>
      </c>
      <c r="F365" s="10" t="str">
        <f t="shared" si="11"/>
        <v/>
      </c>
    </row>
    <row r="366" spans="3:6">
      <c r="C366" t="str">
        <f t="shared" si="10"/>
        <v/>
      </c>
      <c r="D366" s="10" t="str">
        <f>IF(A366="","",SUMIFS('Sales Log'!$G$3:$G$2002,'Sales Log'!$A$3:$A$2002,A366))</f>
        <v/>
      </c>
      <c r="E366" s="10" t="str">
        <f>IF(A366="","",SUMIFS('Shop Expenses'!$D$3:$D$2002,'Shop Expenses'!$A$3:$A$2002,A366)+SUMIFS('Farm Costs'!$D$3:$D$2002,'Farm Costs'!$A$3:$A$2002,A366))</f>
        <v/>
      </c>
      <c r="F366" s="10" t="str">
        <f t="shared" si="11"/>
        <v/>
      </c>
    </row>
    <row r="367" spans="3:6">
      <c r="C367" t="str">
        <f t="shared" si="10"/>
        <v/>
      </c>
      <c r="D367" s="10" t="str">
        <f>IF(A367="","",SUMIFS('Sales Log'!$G$3:$G$2002,'Sales Log'!$A$3:$A$2002,A367))</f>
        <v/>
      </c>
      <c r="E367" s="10" t="str">
        <f>IF(A367="","",SUMIFS('Shop Expenses'!$D$3:$D$2002,'Shop Expenses'!$A$3:$A$2002,A367)+SUMIFS('Farm Costs'!$D$3:$D$2002,'Farm Costs'!$A$3:$A$2002,A367))</f>
        <v/>
      </c>
      <c r="F367" s="10" t="str">
        <f t="shared" si="11"/>
        <v/>
      </c>
    </row>
    <row r="368" spans="3:6">
      <c r="C368" t="str">
        <f t="shared" si="10"/>
        <v/>
      </c>
      <c r="D368" s="10" t="str">
        <f>IF(A368="","",SUMIFS('Sales Log'!$G$3:$G$2002,'Sales Log'!$A$3:$A$2002,A368))</f>
        <v/>
      </c>
      <c r="E368" s="10" t="str">
        <f>IF(A368="","",SUMIFS('Shop Expenses'!$D$3:$D$2002,'Shop Expenses'!$A$3:$A$2002,A368)+SUMIFS('Farm Costs'!$D$3:$D$2002,'Farm Costs'!$A$3:$A$2002,A368))</f>
        <v/>
      </c>
      <c r="F368" s="10" t="str">
        <f t="shared" si="11"/>
        <v/>
      </c>
    </row>
    <row r="369" spans="3:6">
      <c r="C369" t="str">
        <f t="shared" si="10"/>
        <v/>
      </c>
      <c r="D369" s="10" t="str">
        <f>IF(A369="","",SUMIFS('Sales Log'!$G$3:$G$2002,'Sales Log'!$A$3:$A$2002,A369))</f>
        <v/>
      </c>
      <c r="E369" s="10" t="str">
        <f>IF(A369="","",SUMIFS('Shop Expenses'!$D$3:$D$2002,'Shop Expenses'!$A$3:$A$2002,A369)+SUMIFS('Farm Costs'!$D$3:$D$2002,'Farm Costs'!$A$3:$A$2002,A369))</f>
        <v/>
      </c>
      <c r="F369" s="10" t="str">
        <f t="shared" si="11"/>
        <v/>
      </c>
    </row>
    <row r="370" spans="3:6">
      <c r="C370" t="str">
        <f t="shared" si="10"/>
        <v/>
      </c>
      <c r="D370" s="10" t="str">
        <f>IF(A370="","",SUMIFS('Sales Log'!$G$3:$G$2002,'Sales Log'!$A$3:$A$2002,A370))</f>
        <v/>
      </c>
      <c r="E370" s="10" t="str">
        <f>IF(A370="","",SUMIFS('Shop Expenses'!$D$3:$D$2002,'Shop Expenses'!$A$3:$A$2002,A370)+SUMIFS('Farm Costs'!$D$3:$D$2002,'Farm Costs'!$A$3:$A$2002,A370))</f>
        <v/>
      </c>
      <c r="F370" s="10" t="str">
        <f t="shared" si="11"/>
        <v/>
      </c>
    </row>
    <row r="371" spans="3:6">
      <c r="C371" t="str">
        <f t="shared" si="10"/>
        <v/>
      </c>
      <c r="D371" s="10" t="str">
        <f>IF(A371="","",SUMIFS('Sales Log'!$G$3:$G$2002,'Sales Log'!$A$3:$A$2002,A371))</f>
        <v/>
      </c>
      <c r="E371" s="10" t="str">
        <f>IF(A371="","",SUMIFS('Shop Expenses'!$D$3:$D$2002,'Shop Expenses'!$A$3:$A$2002,A371)+SUMIFS('Farm Costs'!$D$3:$D$2002,'Farm Costs'!$A$3:$A$2002,A371))</f>
        <v/>
      </c>
      <c r="F371" s="10" t="str">
        <f t="shared" si="11"/>
        <v/>
      </c>
    </row>
    <row r="372" spans="3:6">
      <c r="C372" t="str">
        <f t="shared" si="10"/>
        <v/>
      </c>
      <c r="D372" s="10" t="str">
        <f>IF(A372="","",SUMIFS('Sales Log'!$G$3:$G$2002,'Sales Log'!$A$3:$A$2002,A372))</f>
        <v/>
      </c>
      <c r="E372" s="10" t="str">
        <f>IF(A372="","",SUMIFS('Shop Expenses'!$D$3:$D$2002,'Shop Expenses'!$A$3:$A$2002,A372)+SUMIFS('Farm Costs'!$D$3:$D$2002,'Farm Costs'!$A$3:$A$2002,A372))</f>
        <v/>
      </c>
      <c r="F372" s="10" t="str">
        <f t="shared" si="11"/>
        <v/>
      </c>
    </row>
    <row r="373" spans="3:6">
      <c r="C373" t="str">
        <f t="shared" si="10"/>
        <v/>
      </c>
      <c r="D373" s="10" t="str">
        <f>IF(A373="","",SUMIFS('Sales Log'!$G$3:$G$2002,'Sales Log'!$A$3:$A$2002,A373))</f>
        <v/>
      </c>
      <c r="E373" s="10" t="str">
        <f>IF(A373="","",SUMIFS('Shop Expenses'!$D$3:$D$2002,'Shop Expenses'!$A$3:$A$2002,A373)+SUMIFS('Farm Costs'!$D$3:$D$2002,'Farm Costs'!$A$3:$A$2002,A373))</f>
        <v/>
      </c>
      <c r="F373" s="10" t="str">
        <f t="shared" si="11"/>
        <v/>
      </c>
    </row>
    <row r="374" spans="3:6">
      <c r="C374" t="str">
        <f t="shared" si="10"/>
        <v/>
      </c>
      <c r="D374" s="10" t="str">
        <f>IF(A374="","",SUMIFS('Sales Log'!$G$3:$G$2002,'Sales Log'!$A$3:$A$2002,A374))</f>
        <v/>
      </c>
      <c r="E374" s="10" t="str">
        <f>IF(A374="","",SUMIFS('Shop Expenses'!$D$3:$D$2002,'Shop Expenses'!$A$3:$A$2002,A374)+SUMIFS('Farm Costs'!$D$3:$D$2002,'Farm Costs'!$A$3:$A$2002,A374))</f>
        <v/>
      </c>
      <c r="F374" s="10" t="str">
        <f t="shared" si="11"/>
        <v/>
      </c>
    </row>
    <row r="375" spans="3:6">
      <c r="C375" t="str">
        <f t="shared" si="10"/>
        <v/>
      </c>
      <c r="D375" s="10" t="str">
        <f>IF(A375="","",SUMIFS('Sales Log'!$G$3:$G$2002,'Sales Log'!$A$3:$A$2002,A375))</f>
        <v/>
      </c>
      <c r="E375" s="10" t="str">
        <f>IF(A375="","",SUMIFS('Shop Expenses'!$D$3:$D$2002,'Shop Expenses'!$A$3:$A$2002,A375)+SUMIFS('Farm Costs'!$D$3:$D$2002,'Farm Costs'!$A$3:$A$2002,A375))</f>
        <v/>
      </c>
      <c r="F375" s="10" t="str">
        <f t="shared" si="11"/>
        <v/>
      </c>
    </row>
    <row r="376" spans="3:6">
      <c r="C376" t="str">
        <f t="shared" si="10"/>
        <v/>
      </c>
      <c r="D376" s="10" t="str">
        <f>IF(A376="","",SUMIFS('Sales Log'!$G$3:$G$2002,'Sales Log'!$A$3:$A$2002,A376))</f>
        <v/>
      </c>
      <c r="E376" s="10" t="str">
        <f>IF(A376="","",SUMIFS('Shop Expenses'!$D$3:$D$2002,'Shop Expenses'!$A$3:$A$2002,A376)+SUMIFS('Farm Costs'!$D$3:$D$2002,'Farm Costs'!$A$3:$A$2002,A376))</f>
        <v/>
      </c>
      <c r="F376" s="10" t="str">
        <f t="shared" si="11"/>
        <v/>
      </c>
    </row>
    <row r="377" spans="3:6">
      <c r="C377" t="str">
        <f t="shared" si="10"/>
        <v/>
      </c>
      <c r="D377" s="10" t="str">
        <f>IF(A377="","",SUMIFS('Sales Log'!$G$3:$G$2002,'Sales Log'!$A$3:$A$2002,A377))</f>
        <v/>
      </c>
      <c r="E377" s="10" t="str">
        <f>IF(A377="","",SUMIFS('Shop Expenses'!$D$3:$D$2002,'Shop Expenses'!$A$3:$A$2002,A377)+SUMIFS('Farm Costs'!$D$3:$D$2002,'Farm Costs'!$A$3:$A$2002,A377))</f>
        <v/>
      </c>
      <c r="F377" s="10" t="str">
        <f t="shared" si="11"/>
        <v/>
      </c>
    </row>
    <row r="378" spans="3:6">
      <c r="C378" t="str">
        <f t="shared" si="10"/>
        <v/>
      </c>
      <c r="D378" s="10" t="str">
        <f>IF(A378="","",SUMIFS('Sales Log'!$G$3:$G$2002,'Sales Log'!$A$3:$A$2002,A378))</f>
        <v/>
      </c>
      <c r="E378" s="10" t="str">
        <f>IF(A378="","",SUMIFS('Shop Expenses'!$D$3:$D$2002,'Shop Expenses'!$A$3:$A$2002,A378)+SUMIFS('Farm Costs'!$D$3:$D$2002,'Farm Costs'!$A$3:$A$2002,A378))</f>
        <v/>
      </c>
      <c r="F378" s="10" t="str">
        <f t="shared" si="11"/>
        <v/>
      </c>
    </row>
    <row r="379" spans="3:6">
      <c r="C379" t="str">
        <f t="shared" si="10"/>
        <v/>
      </c>
      <c r="D379" s="10" t="str">
        <f>IF(A379="","",SUMIFS('Sales Log'!$G$3:$G$2002,'Sales Log'!$A$3:$A$2002,A379))</f>
        <v/>
      </c>
      <c r="E379" s="10" t="str">
        <f>IF(A379="","",SUMIFS('Shop Expenses'!$D$3:$D$2002,'Shop Expenses'!$A$3:$A$2002,A379)+SUMIFS('Farm Costs'!$D$3:$D$2002,'Farm Costs'!$A$3:$A$2002,A379))</f>
        <v/>
      </c>
      <c r="F379" s="10" t="str">
        <f t="shared" si="11"/>
        <v/>
      </c>
    </row>
    <row r="380" spans="3:6">
      <c r="C380" t="str">
        <f t="shared" si="10"/>
        <v/>
      </c>
      <c r="D380" s="10" t="str">
        <f>IF(A380="","",SUMIFS('Sales Log'!$G$3:$G$2002,'Sales Log'!$A$3:$A$2002,A380))</f>
        <v/>
      </c>
      <c r="E380" s="10" t="str">
        <f>IF(A380="","",SUMIFS('Shop Expenses'!$D$3:$D$2002,'Shop Expenses'!$A$3:$A$2002,A380)+SUMIFS('Farm Costs'!$D$3:$D$2002,'Farm Costs'!$A$3:$A$2002,A380))</f>
        <v/>
      </c>
      <c r="F380" s="10" t="str">
        <f t="shared" si="11"/>
        <v/>
      </c>
    </row>
    <row r="381" spans="3:6">
      <c r="C381" t="str">
        <f t="shared" si="10"/>
        <v/>
      </c>
      <c r="D381" s="10" t="str">
        <f>IF(A381="","",SUMIFS('Sales Log'!$G$3:$G$2002,'Sales Log'!$A$3:$A$2002,A381))</f>
        <v/>
      </c>
      <c r="E381" s="10" t="str">
        <f>IF(A381="","",SUMIFS('Shop Expenses'!$D$3:$D$2002,'Shop Expenses'!$A$3:$A$2002,A381)+SUMIFS('Farm Costs'!$D$3:$D$2002,'Farm Costs'!$A$3:$A$2002,A381))</f>
        <v/>
      </c>
      <c r="F381" s="10" t="str">
        <f t="shared" si="11"/>
        <v/>
      </c>
    </row>
    <row r="382" spans="3:6">
      <c r="C382" t="str">
        <f t="shared" si="10"/>
        <v/>
      </c>
      <c r="D382" s="10" t="str">
        <f>IF(A382="","",SUMIFS('Sales Log'!$G$3:$G$2002,'Sales Log'!$A$3:$A$2002,A382))</f>
        <v/>
      </c>
      <c r="E382" s="10" t="str">
        <f>IF(A382="","",SUMIFS('Shop Expenses'!$D$3:$D$2002,'Shop Expenses'!$A$3:$A$2002,A382)+SUMIFS('Farm Costs'!$D$3:$D$2002,'Farm Costs'!$A$3:$A$2002,A382))</f>
        <v/>
      </c>
      <c r="F382" s="10" t="str">
        <f t="shared" si="11"/>
        <v/>
      </c>
    </row>
    <row r="383" spans="3:6">
      <c r="C383" t="str">
        <f t="shared" si="10"/>
        <v/>
      </c>
      <c r="D383" s="10" t="str">
        <f>IF(A383="","",SUMIFS('Sales Log'!$G$3:$G$2002,'Sales Log'!$A$3:$A$2002,A383))</f>
        <v/>
      </c>
      <c r="E383" s="10" t="str">
        <f>IF(A383="","",SUMIFS('Shop Expenses'!$D$3:$D$2002,'Shop Expenses'!$A$3:$A$2002,A383)+SUMIFS('Farm Costs'!$D$3:$D$2002,'Farm Costs'!$A$3:$A$2002,A383))</f>
        <v/>
      </c>
      <c r="F383" s="10" t="str">
        <f t="shared" si="11"/>
        <v/>
      </c>
    </row>
    <row r="384" spans="3:6">
      <c r="C384" t="str">
        <f t="shared" si="10"/>
        <v/>
      </c>
      <c r="D384" s="10" t="str">
        <f>IF(A384="","",SUMIFS('Sales Log'!$G$3:$G$2002,'Sales Log'!$A$3:$A$2002,A384))</f>
        <v/>
      </c>
      <c r="E384" s="10" t="str">
        <f>IF(A384="","",SUMIFS('Shop Expenses'!$D$3:$D$2002,'Shop Expenses'!$A$3:$A$2002,A384)+SUMIFS('Farm Costs'!$D$3:$D$2002,'Farm Costs'!$A$3:$A$2002,A384))</f>
        <v/>
      </c>
      <c r="F384" s="10" t="str">
        <f t="shared" si="11"/>
        <v/>
      </c>
    </row>
    <row r="385" spans="3:6">
      <c r="C385" t="str">
        <f t="shared" si="10"/>
        <v/>
      </c>
      <c r="D385" s="10" t="str">
        <f>IF(A385="","",SUMIFS('Sales Log'!$G$3:$G$2002,'Sales Log'!$A$3:$A$2002,A385))</f>
        <v/>
      </c>
      <c r="E385" s="10" t="str">
        <f>IF(A385="","",SUMIFS('Shop Expenses'!$D$3:$D$2002,'Shop Expenses'!$A$3:$A$2002,A385)+SUMIFS('Farm Costs'!$D$3:$D$2002,'Farm Costs'!$A$3:$A$2002,A385))</f>
        <v/>
      </c>
      <c r="F385" s="10" t="str">
        <f t="shared" si="11"/>
        <v/>
      </c>
    </row>
    <row r="386" spans="3:6">
      <c r="C386" t="str">
        <f t="shared" si="10"/>
        <v/>
      </c>
      <c r="D386" s="10" t="str">
        <f>IF(A386="","",SUMIFS('Sales Log'!$G$3:$G$2002,'Sales Log'!$A$3:$A$2002,A386))</f>
        <v/>
      </c>
      <c r="E386" s="10" t="str">
        <f>IF(A386="","",SUMIFS('Shop Expenses'!$D$3:$D$2002,'Shop Expenses'!$A$3:$A$2002,A386)+SUMIFS('Farm Costs'!$D$3:$D$2002,'Farm Costs'!$A$3:$A$2002,A386))</f>
        <v/>
      </c>
      <c r="F386" s="10" t="str">
        <f t="shared" si="11"/>
        <v/>
      </c>
    </row>
    <row r="387" spans="3:6">
      <c r="C387" t="str">
        <f t="shared" si="10"/>
        <v/>
      </c>
      <c r="D387" s="10" t="str">
        <f>IF(A387="","",SUMIFS('Sales Log'!$G$3:$G$2002,'Sales Log'!$A$3:$A$2002,A387))</f>
        <v/>
      </c>
      <c r="E387" s="10" t="str">
        <f>IF(A387="","",SUMIFS('Shop Expenses'!$D$3:$D$2002,'Shop Expenses'!$A$3:$A$2002,A387)+SUMIFS('Farm Costs'!$D$3:$D$2002,'Farm Costs'!$A$3:$A$2002,A387))</f>
        <v/>
      </c>
      <c r="F387" s="10" t="str">
        <f t="shared" si="11"/>
        <v/>
      </c>
    </row>
    <row r="388" spans="3:6">
      <c r="C388" t="str">
        <f t="shared" si="10"/>
        <v/>
      </c>
      <c r="D388" s="10" t="str">
        <f>IF(A388="","",SUMIFS('Sales Log'!$G$3:$G$2002,'Sales Log'!$A$3:$A$2002,A388))</f>
        <v/>
      </c>
      <c r="E388" s="10" t="str">
        <f>IF(A388="","",SUMIFS('Shop Expenses'!$D$3:$D$2002,'Shop Expenses'!$A$3:$A$2002,A388)+SUMIFS('Farm Costs'!$D$3:$D$2002,'Farm Costs'!$A$3:$A$2002,A388))</f>
        <v/>
      </c>
      <c r="F388" s="10" t="str">
        <f t="shared" si="11"/>
        <v/>
      </c>
    </row>
    <row r="389" spans="3:6">
      <c r="C389" t="str">
        <f t="shared" ref="C389:C405" si="12">IF(A389="","","Daily Sales")</f>
        <v/>
      </c>
      <c r="D389" s="10" t="str">
        <f>IF(A389="","",SUMIFS('Sales Log'!$G$3:$G$2002,'Sales Log'!$A$3:$A$2002,A389))</f>
        <v/>
      </c>
      <c r="E389" s="10" t="str">
        <f>IF(A389="","",SUMIFS('Shop Expenses'!$D$3:$D$2002,'Shop Expenses'!$A$3:$A$2002,A389)+SUMIFS('Farm Costs'!$D$3:$D$2002,'Farm Costs'!$A$3:$A$2002,A389))</f>
        <v/>
      </c>
      <c r="F389" s="10" t="str">
        <f t="shared" si="11"/>
        <v/>
      </c>
    </row>
    <row r="390" spans="3:6">
      <c r="C390" t="str">
        <f t="shared" si="12"/>
        <v/>
      </c>
      <c r="D390" s="10" t="str">
        <f>IF(A390="","",SUMIFS('Sales Log'!$G$3:$G$2002,'Sales Log'!$A$3:$A$2002,A390))</f>
        <v/>
      </c>
      <c r="E390" s="10" t="str">
        <f>IF(A390="","",SUMIFS('Shop Expenses'!$D$3:$D$2002,'Shop Expenses'!$A$3:$A$2002,A390)+SUMIFS('Farm Costs'!$D$3:$D$2002,'Farm Costs'!$A$3:$A$2002,A390))</f>
        <v/>
      </c>
      <c r="F390" s="10" t="str">
        <f t="shared" ref="F390:F405" si="13">IF(A390="","",F389+D390-E390)</f>
        <v/>
      </c>
    </row>
    <row r="391" spans="3:6">
      <c r="C391" t="str">
        <f t="shared" si="12"/>
        <v/>
      </c>
      <c r="D391" s="10" t="str">
        <f>IF(A391="","",SUMIFS('Sales Log'!$G$3:$G$2002,'Sales Log'!$A$3:$A$2002,A391))</f>
        <v/>
      </c>
      <c r="E391" s="10" t="str">
        <f>IF(A391="","",SUMIFS('Shop Expenses'!$D$3:$D$2002,'Shop Expenses'!$A$3:$A$2002,A391)+SUMIFS('Farm Costs'!$D$3:$D$2002,'Farm Costs'!$A$3:$A$2002,A391))</f>
        <v/>
      </c>
      <c r="F391" s="10" t="str">
        <f t="shared" si="13"/>
        <v/>
      </c>
    </row>
    <row r="392" spans="3:6">
      <c r="C392" t="str">
        <f t="shared" si="12"/>
        <v/>
      </c>
      <c r="D392" s="10" t="str">
        <f>IF(A392="","",SUMIFS('Sales Log'!$G$3:$G$2002,'Sales Log'!$A$3:$A$2002,A392))</f>
        <v/>
      </c>
      <c r="E392" s="10" t="str">
        <f>IF(A392="","",SUMIFS('Shop Expenses'!$D$3:$D$2002,'Shop Expenses'!$A$3:$A$2002,A392)+SUMIFS('Farm Costs'!$D$3:$D$2002,'Farm Costs'!$A$3:$A$2002,A392))</f>
        <v/>
      </c>
      <c r="F392" s="10" t="str">
        <f t="shared" si="13"/>
        <v/>
      </c>
    </row>
    <row r="393" spans="3:6">
      <c r="C393" t="str">
        <f t="shared" si="12"/>
        <v/>
      </c>
      <c r="D393" s="10" t="str">
        <f>IF(A393="","",SUMIFS('Sales Log'!$G$3:$G$2002,'Sales Log'!$A$3:$A$2002,A393))</f>
        <v/>
      </c>
      <c r="E393" s="10" t="str">
        <f>IF(A393="","",SUMIFS('Shop Expenses'!$D$3:$D$2002,'Shop Expenses'!$A$3:$A$2002,A393)+SUMIFS('Farm Costs'!$D$3:$D$2002,'Farm Costs'!$A$3:$A$2002,A393))</f>
        <v/>
      </c>
      <c r="F393" s="10" t="str">
        <f t="shared" si="13"/>
        <v/>
      </c>
    </row>
    <row r="394" spans="3:6">
      <c r="C394" t="str">
        <f t="shared" si="12"/>
        <v/>
      </c>
      <c r="D394" s="10" t="str">
        <f>IF(A394="","",SUMIFS('Sales Log'!$G$3:$G$2002,'Sales Log'!$A$3:$A$2002,A394))</f>
        <v/>
      </c>
      <c r="E394" s="10" t="str">
        <f>IF(A394="","",SUMIFS('Shop Expenses'!$D$3:$D$2002,'Shop Expenses'!$A$3:$A$2002,A394)+SUMIFS('Farm Costs'!$D$3:$D$2002,'Farm Costs'!$A$3:$A$2002,A394))</f>
        <v/>
      </c>
      <c r="F394" s="10" t="str">
        <f t="shared" si="13"/>
        <v/>
      </c>
    </row>
    <row r="395" spans="3:6">
      <c r="C395" t="str">
        <f t="shared" si="12"/>
        <v/>
      </c>
      <c r="D395" s="10" t="str">
        <f>IF(A395="","",SUMIFS('Sales Log'!$G$3:$G$2002,'Sales Log'!$A$3:$A$2002,A395))</f>
        <v/>
      </c>
      <c r="E395" s="10" t="str">
        <f>IF(A395="","",SUMIFS('Shop Expenses'!$D$3:$D$2002,'Shop Expenses'!$A$3:$A$2002,A395)+SUMIFS('Farm Costs'!$D$3:$D$2002,'Farm Costs'!$A$3:$A$2002,A395))</f>
        <v/>
      </c>
      <c r="F395" s="10" t="str">
        <f t="shared" si="13"/>
        <v/>
      </c>
    </row>
    <row r="396" spans="3:6">
      <c r="C396" t="str">
        <f t="shared" si="12"/>
        <v/>
      </c>
      <c r="D396" s="10" t="str">
        <f>IF(A396="","",SUMIFS('Sales Log'!$G$3:$G$2002,'Sales Log'!$A$3:$A$2002,A396))</f>
        <v/>
      </c>
      <c r="E396" s="10" t="str">
        <f>IF(A396="","",SUMIFS('Shop Expenses'!$D$3:$D$2002,'Shop Expenses'!$A$3:$A$2002,A396)+SUMIFS('Farm Costs'!$D$3:$D$2002,'Farm Costs'!$A$3:$A$2002,A396))</f>
        <v/>
      </c>
      <c r="F396" s="10" t="str">
        <f t="shared" si="13"/>
        <v/>
      </c>
    </row>
    <row r="397" spans="3:6">
      <c r="C397" t="str">
        <f t="shared" si="12"/>
        <v/>
      </c>
      <c r="D397" s="10" t="str">
        <f>IF(A397="","",SUMIFS('Sales Log'!$G$3:$G$2002,'Sales Log'!$A$3:$A$2002,A397))</f>
        <v/>
      </c>
      <c r="E397" s="10" t="str">
        <f>IF(A397="","",SUMIFS('Shop Expenses'!$D$3:$D$2002,'Shop Expenses'!$A$3:$A$2002,A397)+SUMIFS('Farm Costs'!$D$3:$D$2002,'Farm Costs'!$A$3:$A$2002,A397))</f>
        <v/>
      </c>
      <c r="F397" s="10" t="str">
        <f t="shared" si="13"/>
        <v/>
      </c>
    </row>
    <row r="398" spans="3:6">
      <c r="C398" t="str">
        <f t="shared" si="12"/>
        <v/>
      </c>
      <c r="D398" s="10" t="str">
        <f>IF(A398="","",SUMIFS('Sales Log'!$G$3:$G$2002,'Sales Log'!$A$3:$A$2002,A398))</f>
        <v/>
      </c>
      <c r="E398" s="10" t="str">
        <f>IF(A398="","",SUMIFS('Shop Expenses'!$D$3:$D$2002,'Shop Expenses'!$A$3:$A$2002,A398)+SUMIFS('Farm Costs'!$D$3:$D$2002,'Farm Costs'!$A$3:$A$2002,A398))</f>
        <v/>
      </c>
      <c r="F398" s="10" t="str">
        <f t="shared" si="13"/>
        <v/>
      </c>
    </row>
    <row r="399" spans="3:6">
      <c r="C399" t="str">
        <f t="shared" si="12"/>
        <v/>
      </c>
      <c r="D399" s="10" t="str">
        <f>IF(A399="","",SUMIFS('Sales Log'!$G$3:$G$2002,'Sales Log'!$A$3:$A$2002,A399))</f>
        <v/>
      </c>
      <c r="E399" s="10" t="str">
        <f>IF(A399="","",SUMIFS('Shop Expenses'!$D$3:$D$2002,'Shop Expenses'!$A$3:$A$2002,A399)+SUMIFS('Farm Costs'!$D$3:$D$2002,'Farm Costs'!$A$3:$A$2002,A399))</f>
        <v/>
      </c>
      <c r="F399" s="10" t="str">
        <f t="shared" si="13"/>
        <v/>
      </c>
    </row>
    <row r="400" spans="3:6">
      <c r="C400" t="str">
        <f t="shared" si="12"/>
        <v/>
      </c>
      <c r="D400" s="10" t="str">
        <f>IF(A400="","",SUMIFS('Sales Log'!$G$3:$G$2002,'Sales Log'!$A$3:$A$2002,A400))</f>
        <v/>
      </c>
      <c r="E400" s="10" t="str">
        <f>IF(A400="","",SUMIFS('Shop Expenses'!$D$3:$D$2002,'Shop Expenses'!$A$3:$A$2002,A400)+SUMIFS('Farm Costs'!$D$3:$D$2002,'Farm Costs'!$A$3:$A$2002,A400))</f>
        <v/>
      </c>
      <c r="F400" s="10" t="str">
        <f t="shared" si="13"/>
        <v/>
      </c>
    </row>
    <row r="401" spans="3:6">
      <c r="C401" t="str">
        <f t="shared" si="12"/>
        <v/>
      </c>
      <c r="D401" s="10" t="str">
        <f>IF(A401="","",SUMIFS('Sales Log'!$G$3:$G$2002,'Sales Log'!$A$3:$A$2002,A401))</f>
        <v/>
      </c>
      <c r="E401" s="10" t="str">
        <f>IF(A401="","",SUMIFS('Shop Expenses'!$D$3:$D$2002,'Shop Expenses'!$A$3:$A$2002,A401)+SUMIFS('Farm Costs'!$D$3:$D$2002,'Farm Costs'!$A$3:$A$2002,A401))</f>
        <v/>
      </c>
      <c r="F401" s="10" t="str">
        <f t="shared" si="13"/>
        <v/>
      </c>
    </row>
    <row r="402" spans="3:6">
      <c r="C402" t="str">
        <f t="shared" si="12"/>
        <v/>
      </c>
      <c r="D402" s="10" t="str">
        <f>IF(A402="","",SUMIFS('Sales Log'!$G$3:$G$2002,'Sales Log'!$A$3:$A$2002,A402))</f>
        <v/>
      </c>
      <c r="E402" s="10" t="str">
        <f>IF(A402="","",SUMIFS('Shop Expenses'!$D$3:$D$2002,'Shop Expenses'!$A$3:$A$2002,A402)+SUMIFS('Farm Costs'!$D$3:$D$2002,'Farm Costs'!$A$3:$A$2002,A402))</f>
        <v/>
      </c>
      <c r="F402" s="10" t="str">
        <f t="shared" si="13"/>
        <v/>
      </c>
    </row>
    <row r="403" spans="3:6">
      <c r="C403" t="str">
        <f t="shared" si="12"/>
        <v/>
      </c>
      <c r="D403" s="10" t="str">
        <f>IF(A403="","",SUMIFS('Sales Log'!$G$3:$G$2002,'Sales Log'!$A$3:$A$2002,A403))</f>
        <v/>
      </c>
      <c r="E403" s="10" t="str">
        <f>IF(A403="","",SUMIFS('Shop Expenses'!$D$3:$D$2002,'Shop Expenses'!$A$3:$A$2002,A403)+SUMIFS('Farm Costs'!$D$3:$D$2002,'Farm Costs'!$A$3:$A$2002,A403))</f>
        <v/>
      </c>
      <c r="F403" s="10" t="str">
        <f t="shared" si="13"/>
        <v/>
      </c>
    </row>
    <row r="404" spans="3:6">
      <c r="C404" t="str">
        <f t="shared" si="12"/>
        <v/>
      </c>
      <c r="D404" s="10" t="str">
        <f>IF(A404="","",SUMIFS('Sales Log'!$G$3:$G$2002,'Sales Log'!$A$3:$A$2002,A404))</f>
        <v/>
      </c>
      <c r="E404" s="10" t="str">
        <f>IF(A404="","",SUMIFS('Shop Expenses'!$D$3:$D$2002,'Shop Expenses'!$A$3:$A$2002,A404)+SUMIFS('Farm Costs'!$D$3:$D$2002,'Farm Costs'!$A$3:$A$2002,A404))</f>
        <v/>
      </c>
      <c r="F404" s="10" t="str">
        <f t="shared" si="13"/>
        <v/>
      </c>
    </row>
    <row r="405" spans="3:6">
      <c r="C405" t="str">
        <f t="shared" si="12"/>
        <v/>
      </c>
      <c r="D405" s="10" t="str">
        <f>IF(A405="","",SUMIFS('Sales Log'!$G$3:$G$2002,'Sales Log'!$A$3:$A$2002,A405))</f>
        <v/>
      </c>
      <c r="E405" s="10" t="str">
        <f>IF(A405="","",SUMIFS('Shop Expenses'!$D$3:$D$2002,'Shop Expenses'!$A$3:$A$2002,A405)+SUMIFS('Farm Costs'!$D$3:$D$2002,'Farm Costs'!$A$3:$A$2002,A405))</f>
        <v/>
      </c>
      <c r="F405" s="10" t="str">
        <f t="shared" si="13"/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8"/>
  <sheetViews>
    <sheetView workbookViewId="0">
      <selection sqref="A1:H1"/>
    </sheetView>
  </sheetViews>
  <sheetFormatPr defaultRowHeight="14.4"/>
  <cols>
    <col min="1" max="1" width="16" style="30" customWidth="1"/>
    <col min="2" max="4" width="14" style="30" customWidth="1"/>
    <col min="5" max="5" width="12" style="30" customWidth="1"/>
    <col min="6" max="6" width="14" style="30" customWidth="1"/>
    <col min="7" max="7" width="16" style="30" customWidth="1"/>
    <col min="8" max="8" width="18" style="30" customWidth="1"/>
  </cols>
  <sheetData>
    <row r="1" spans="1:8" ht="15.6" customHeight="1">
      <c r="A1" s="49" t="s">
        <v>156</v>
      </c>
      <c r="B1" s="46"/>
      <c r="C1" s="46"/>
      <c r="D1" s="46"/>
      <c r="E1" s="46"/>
      <c r="F1" s="46"/>
      <c r="G1" s="46"/>
      <c r="H1" s="46"/>
    </row>
    <row r="2" spans="1:8">
      <c r="A2" s="4" t="s">
        <v>157</v>
      </c>
      <c r="B2" s="4" t="s">
        <v>158</v>
      </c>
      <c r="C2" s="4" t="s">
        <v>159</v>
      </c>
      <c r="D2" s="4" t="s">
        <v>160</v>
      </c>
      <c r="E2" s="4" t="s">
        <v>161</v>
      </c>
      <c r="F2" s="4" t="s">
        <v>162</v>
      </c>
      <c r="G2" s="4" t="s">
        <v>101</v>
      </c>
      <c r="H2" s="4" t="s">
        <v>163</v>
      </c>
    </row>
    <row r="3" spans="1:8">
      <c r="A3" t="s">
        <v>15</v>
      </c>
      <c r="B3" t="s">
        <v>164</v>
      </c>
      <c r="C3" s="3">
        <v>0</v>
      </c>
      <c r="D3" s="3">
        <v>0</v>
      </c>
      <c r="E3" s="3">
        <v>0</v>
      </c>
      <c r="F3">
        <f>C3+D3-E3</f>
        <v>0</v>
      </c>
      <c r="G3" s="3">
        <v>0</v>
      </c>
      <c r="H3" s="10">
        <f>F3*G3</f>
        <v>0</v>
      </c>
    </row>
    <row r="4" spans="1:8">
      <c r="A4" t="s">
        <v>19</v>
      </c>
      <c r="B4" t="s">
        <v>164</v>
      </c>
      <c r="C4" s="3">
        <v>0</v>
      </c>
      <c r="D4" s="3">
        <v>0</v>
      </c>
      <c r="E4" s="3">
        <v>0</v>
      </c>
      <c r="F4">
        <f>C4+D4-E4</f>
        <v>0</v>
      </c>
      <c r="G4" s="3">
        <v>0</v>
      </c>
      <c r="H4" s="10">
        <f>F4*G4</f>
        <v>0</v>
      </c>
    </row>
    <row r="5" spans="1:8">
      <c r="A5" t="s">
        <v>23</v>
      </c>
      <c r="B5" t="s">
        <v>165</v>
      </c>
      <c r="C5" s="3">
        <v>0</v>
      </c>
      <c r="D5" s="3">
        <v>0</v>
      </c>
      <c r="E5" s="3">
        <v>0</v>
      </c>
      <c r="F5">
        <f>C5+D5-E5</f>
        <v>0</v>
      </c>
      <c r="G5" s="3">
        <v>0</v>
      </c>
      <c r="H5" s="10">
        <f>F5*G5</f>
        <v>0</v>
      </c>
    </row>
    <row r="6" spans="1:8">
      <c r="A6" t="s">
        <v>27</v>
      </c>
      <c r="B6" t="s">
        <v>166</v>
      </c>
      <c r="C6" s="3">
        <v>0</v>
      </c>
      <c r="D6" s="3">
        <v>0</v>
      </c>
      <c r="E6" s="3">
        <v>0</v>
      </c>
      <c r="F6">
        <f>C6+D6-E6</f>
        <v>0</v>
      </c>
      <c r="G6" s="3">
        <v>0</v>
      </c>
      <c r="H6" s="10">
        <f>F6*G6</f>
        <v>0</v>
      </c>
    </row>
    <row r="7" spans="1:8">
      <c r="A7" t="s">
        <v>30</v>
      </c>
      <c r="B7" t="s">
        <v>166</v>
      </c>
      <c r="C7" s="3">
        <v>0</v>
      </c>
      <c r="D7" s="3">
        <v>0</v>
      </c>
      <c r="E7" s="3">
        <v>0</v>
      </c>
      <c r="F7">
        <f>C7+D7-E7</f>
        <v>0</v>
      </c>
      <c r="G7" s="3">
        <v>0</v>
      </c>
      <c r="H7" s="10">
        <f>F7*G7</f>
        <v>0</v>
      </c>
    </row>
    <row r="8" spans="1:8">
      <c r="G8" s="1" t="s">
        <v>167</v>
      </c>
      <c r="H8" s="12">
        <f>SUM(H3:H7)</f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F7"/>
  <sheetViews>
    <sheetView workbookViewId="0">
      <selection activeCell="J20" sqref="J20"/>
    </sheetView>
  </sheetViews>
  <sheetFormatPr defaultRowHeight="14.4"/>
  <cols>
    <col min="1" max="1" width="16" style="30" customWidth="1"/>
    <col min="2" max="2" width="18" style="30" customWidth="1"/>
    <col min="3" max="3" width="20" style="30" customWidth="1"/>
    <col min="4" max="4" width="18" style="30" customWidth="1"/>
    <col min="5" max="5" width="22" style="30" customWidth="1"/>
    <col min="6" max="6" width="18" style="30" customWidth="1"/>
  </cols>
  <sheetData>
    <row r="1" spans="1:6" ht="15.6" customHeight="1">
      <c r="A1" s="48" t="s">
        <v>168</v>
      </c>
      <c r="B1" s="46"/>
      <c r="C1" s="46"/>
      <c r="D1" s="46"/>
      <c r="E1" s="46"/>
      <c r="F1" s="46"/>
    </row>
    <row r="2" spans="1:6">
      <c r="A2" s="4" t="s">
        <v>158</v>
      </c>
      <c r="B2" s="4" t="s">
        <v>169</v>
      </c>
      <c r="C2" s="4" t="s">
        <v>170</v>
      </c>
      <c r="D2" s="4" t="s">
        <v>114</v>
      </c>
      <c r="E2" s="4" t="s">
        <v>171</v>
      </c>
      <c r="F2" s="4" t="s">
        <v>172</v>
      </c>
    </row>
    <row r="3" spans="1:6">
      <c r="A3" t="s">
        <v>12</v>
      </c>
      <c r="B3" s="10">
        <f>SUMIFS('Sales Log'!$G$3:$G$2002,'Sales Log'!$B$3:$B$2002,A3,'Sales Log'!$A$3:$A$2002,"&gt;="&amp;'Control Panel'!$B$3,'Sales Log'!$A$3:$A$2002,"&lt;="&amp;'Control Panel'!$C$3)</f>
        <v>117200</v>
      </c>
      <c r="C3" s="10">
        <f>SUMIFS('Sales Log'!$H$3:$H$2002,'Sales Log'!$B$3:$B$2002,A3,'Sales Log'!$A$3:$A$2002,"&gt;="&amp;'Control Panel'!$B$3,'Sales Log'!$A$3:$A$2002,"&lt;="&amp;'Control Panel'!$C$3)</f>
        <v>112821</v>
      </c>
      <c r="D3" s="10">
        <f>B3-C3</f>
        <v>4379</v>
      </c>
      <c r="E3" s="10">
        <f>SUMIFS('Shop Expenses'!$D$3:$D$2002,'Shop Expenses'!$B$3:$B$2002,A3,'Shop Expenses'!$A$3:$A$2002,"&gt;="&amp;'Control Panel'!$B$3,'Shop Expenses'!$A$3:$A$2002,"&lt;="&amp;'Control Panel'!$C$3)</f>
        <v>1500</v>
      </c>
      <c r="F3" s="10">
        <f>D3-E3</f>
        <v>2879</v>
      </c>
    </row>
    <row r="4" spans="1:6">
      <c r="A4" t="s">
        <v>16</v>
      </c>
      <c r="B4" s="10">
        <f>SUMIFS('Sales Log'!$G$3:$G$2002,'Sales Log'!$B$3:$B$2002,A4,'Sales Log'!$A$3:$A$2002,"&gt;="&amp;'Control Panel'!$B$3,'Sales Log'!$A$3:$A$2002,"&lt;="&amp;'Control Panel'!$C$3)</f>
        <v>39840</v>
      </c>
      <c r="C4" s="10">
        <f>SUMIFS('Sales Log'!$H$3:$H$2002,'Sales Log'!$B$3:$B$2002,A4,'Sales Log'!$A$3:$A$2002,"&gt;="&amp;'Control Panel'!$B$3,'Sales Log'!$A$3:$A$2002,"&lt;="&amp;'Control Panel'!$C$3)</f>
        <v>38396</v>
      </c>
      <c r="D4" s="10">
        <f>B4-C4</f>
        <v>1444</v>
      </c>
      <c r="E4" s="10">
        <f>SUMIFS('Shop Expenses'!$D$3:$D$2002,'Shop Expenses'!$B$3:$B$2002,A4,'Shop Expenses'!$A$3:$A$2002,"&gt;="&amp;'Control Panel'!$B$3,'Shop Expenses'!$A$3:$A$2002,"&lt;="&amp;'Control Panel'!$C$3)</f>
        <v>950</v>
      </c>
      <c r="F4" s="10">
        <f>D4-E4</f>
        <v>494</v>
      </c>
    </row>
    <row r="5" spans="1:6">
      <c r="A5" t="s">
        <v>20</v>
      </c>
      <c r="B5" s="10">
        <f>SUMIFS('Sales Log'!$G$3:$G$2002,'Sales Log'!$B$3:$B$2002,A5,'Sales Log'!$A$3:$A$2002,"&gt;="&amp;'Control Panel'!$B$3,'Sales Log'!$A$3:$A$2002,"&lt;="&amp;'Control Panel'!$C$3)</f>
        <v>68921</v>
      </c>
      <c r="C5" s="10">
        <f>SUMIFS('Sales Log'!$H$3:$H$2002,'Sales Log'!$B$3:$B$2002,A5,'Sales Log'!$A$3:$A$2002,"&gt;="&amp;'Control Panel'!$B$3,'Sales Log'!$A$3:$A$2002,"&lt;="&amp;'Control Panel'!$C$3)</f>
        <v>67836</v>
      </c>
      <c r="D5" s="10">
        <f>B5-C5</f>
        <v>1085</v>
      </c>
      <c r="E5" s="10">
        <f>SUMIFS('Shop Expenses'!$D$3:$D$2002,'Shop Expenses'!$B$3:$B$2002,A5,'Shop Expenses'!$A$3:$A$2002,"&gt;="&amp;'Control Panel'!$B$3,'Shop Expenses'!$A$3:$A$2002,"&lt;="&amp;'Control Panel'!$C$3)</f>
        <v>0</v>
      </c>
      <c r="F5" s="10">
        <f>D5-E5</f>
        <v>1085</v>
      </c>
    </row>
    <row r="6" spans="1:6">
      <c r="A6" t="s">
        <v>24</v>
      </c>
      <c r="B6" s="10">
        <f>SUMIFS('Sales Log'!$G$3:$G$2002,'Sales Log'!$B$3:$B$2002,A6,'Sales Log'!$A$3:$A$2002,"&gt;="&amp;'Control Panel'!$B$3,'Sales Log'!$A$3:$A$2002,"&lt;="&amp;'Control Panel'!$C$3)</f>
        <v>131080.5</v>
      </c>
      <c r="C6" s="10">
        <f>SUMIFS('Sales Log'!$H$3:$H$2002,'Sales Log'!$B$3:$B$2002,A6,'Sales Log'!$A$3:$A$2002,"&gt;="&amp;'Control Panel'!$B$3,'Sales Log'!$A$3:$A$2002,"&lt;="&amp;'Control Panel'!$C$3)</f>
        <v>131080.5</v>
      </c>
      <c r="D6" s="10">
        <f>B6-C6</f>
        <v>0</v>
      </c>
      <c r="E6" s="10">
        <f>SUMIFS('Shop Expenses'!$D$3:$D$2002,'Shop Expenses'!$B$3:$B$2002,A6,'Shop Expenses'!$A$3:$A$2002,"&gt;="&amp;'Control Panel'!$B$3,'Shop Expenses'!$A$3:$A$2002,"&lt;="&amp;'Control Panel'!$C$3)</f>
        <v>1290</v>
      </c>
      <c r="F6" s="10">
        <f>D6-E6</f>
        <v>-1290</v>
      </c>
    </row>
    <row r="7" spans="1:6">
      <c r="A7" s="1" t="s">
        <v>173</v>
      </c>
      <c r="B7" s="9">
        <f>SUM(B3:B6)</f>
        <v>357041.5</v>
      </c>
      <c r="C7" s="9">
        <f>SUM(C3:C6)</f>
        <v>350133.5</v>
      </c>
      <c r="D7" s="9">
        <f>SUM(D3:D6)</f>
        <v>6908</v>
      </c>
      <c r="E7" s="9">
        <f>SUM(E3:E6)</f>
        <v>3740</v>
      </c>
      <c r="F7" s="9">
        <f>SUM(F3:F6)</f>
        <v>3168</v>
      </c>
    </row>
  </sheetData>
  <sheetProtection password="EF81" sheet="1"/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F40"/>
  <sheetViews>
    <sheetView workbookViewId="0">
      <selection sqref="A1:F1"/>
    </sheetView>
  </sheetViews>
  <sheetFormatPr defaultRowHeight="14.4"/>
  <cols>
    <col min="1" max="1" width="16" style="30" customWidth="1"/>
    <col min="2" max="2" width="12" style="30" customWidth="1"/>
    <col min="3" max="5" width="18" style="30" customWidth="1"/>
    <col min="6" max="6" width="12" style="30" customWidth="1"/>
  </cols>
  <sheetData>
    <row r="1" spans="1:6" ht="15.6" customHeight="1">
      <c r="A1" s="49" t="s">
        <v>174</v>
      </c>
      <c r="B1" s="46"/>
      <c r="C1" s="46"/>
      <c r="D1" s="46"/>
      <c r="E1" s="46"/>
      <c r="F1" s="46"/>
    </row>
    <row r="2" spans="1:6">
      <c r="A2" s="51" t="s">
        <v>12</v>
      </c>
      <c r="B2" s="46"/>
      <c r="C2" s="46"/>
      <c r="D2" s="46"/>
      <c r="E2" s="46"/>
      <c r="F2" s="46"/>
    </row>
    <row r="3" spans="1:6">
      <c r="A3" s="4" t="s">
        <v>99</v>
      </c>
      <c r="B3" s="4" t="s">
        <v>110</v>
      </c>
      <c r="C3" s="4" t="s">
        <v>113</v>
      </c>
      <c r="D3" s="4" t="s">
        <v>102</v>
      </c>
      <c r="E3" s="4" t="s">
        <v>114</v>
      </c>
      <c r="F3" s="4" t="s">
        <v>175</v>
      </c>
    </row>
    <row r="4" spans="1:6">
      <c r="A4" t="s">
        <v>13</v>
      </c>
      <c r="B4">
        <f>SUMPRODUCT(('Sales Log'!$B$3:$B$2002="Akatsi Feed")*('Sales Log'!$C$3:$C$2002="LM")*('Sales Log'!$A$3:$A$2002&gt;='Control Panel'!$B$3)*('Sales Log'!$A$3:$A$2002&lt;='Control Panel'!$C$3)*('Sales Log'!$D$3:$D$2002))</f>
        <v>246</v>
      </c>
      <c r="C4" s="10" t="e">
        <f>SUMPRODUCT(('Sales Log'!$B$3:$B$2002="Akatsi Feed")*('Sales Log'!$C$3:$C$2002="LM")*('Sales Log'!$A$3:$A$2002&gt;='Control Panel'!$B$3)*('Sales Log'!$A$3:$A$2002&lt;='Control Panel'!$C$3)*('Sales Log'!$G$3:$G$2002))</f>
        <v>#VALUE!</v>
      </c>
      <c r="D4" s="10" t="e">
        <f>SUMPRODUCT(('Sales Log'!$B$3:$B$2002="Akatsi Feed")*('Sales Log'!$C$3:$C$2002="LM")*('Sales Log'!$A$3:$A$2002&gt;='Control Panel'!$B$3)*('Sales Log'!$A$3:$A$2002&lt;='Control Panel'!$C$3)*('Sales Log'!$H$3:$H$2002))</f>
        <v>#VALUE!</v>
      </c>
      <c r="E4" s="10" t="e">
        <f t="shared" ref="E4:E10" si="0">C4-D4</f>
        <v>#VALUE!</v>
      </c>
      <c r="F4" s="29" t="e">
        <f t="shared" ref="F4:F10" si="1">IF(C4&gt;0,E4/C4*100,0)</f>
        <v>#VALUE!</v>
      </c>
    </row>
    <row r="5" spans="1:6">
      <c r="A5" t="s">
        <v>17</v>
      </c>
      <c r="B5">
        <f>SUMPRODUCT(('Sales Log'!$B$3:$B$2002="Akatsi Feed")*('Sales Log'!$C$3:$C$2002="GM")*('Sales Log'!$A$3:$A$2002&gt;='Control Panel'!$B$3)*('Sales Log'!$A$3:$A$2002&lt;='Control Panel'!$C$3)*('Sales Log'!$D$3:$D$2002))</f>
        <v>48</v>
      </c>
      <c r="C5" s="10" t="e">
        <f>SUMPRODUCT(('Sales Log'!$B$3:$B$2002="Akatsi Feed")*('Sales Log'!$C$3:$C$2002="GM")*('Sales Log'!$A$3:$A$2002&gt;='Control Panel'!$B$3)*('Sales Log'!$A$3:$A$2002&lt;='Control Panel'!$C$3)*('Sales Log'!$G$3:$G$2002))</f>
        <v>#VALUE!</v>
      </c>
      <c r="D5" s="10" t="e">
        <f>SUMPRODUCT(('Sales Log'!$B$3:$B$2002="Akatsi Feed")*('Sales Log'!$C$3:$C$2002="GM")*('Sales Log'!$A$3:$A$2002&gt;='Control Panel'!$B$3)*('Sales Log'!$A$3:$A$2002&lt;='Control Panel'!$C$3)*('Sales Log'!$H$3:$H$2002))</f>
        <v>#VALUE!</v>
      </c>
      <c r="E5" s="10" t="e">
        <f t="shared" si="0"/>
        <v>#VALUE!</v>
      </c>
      <c r="F5" s="29" t="e">
        <f t="shared" si="1"/>
        <v>#VALUE!</v>
      </c>
    </row>
    <row r="6" spans="1:6">
      <c r="A6" t="s">
        <v>21</v>
      </c>
      <c r="B6">
        <f>SUMPRODUCT(('Sales Log'!$B$3:$B$2002="Akatsi Feed")*('Sales Log'!$C$3:$C$2002="CM")*('Sales Log'!$A$3:$A$2002&gt;='Control Panel'!$B$3)*('Sales Log'!$A$3:$A$2002&lt;='Control Panel'!$C$3)*('Sales Log'!$D$3:$D$2002))</f>
        <v>17</v>
      </c>
      <c r="C6" s="10" t="e">
        <f>SUMPRODUCT(('Sales Log'!$B$3:$B$2002="Akatsi Feed")*('Sales Log'!$C$3:$C$2002="CM")*('Sales Log'!$A$3:$A$2002&gt;='Control Panel'!$B$3)*('Sales Log'!$A$3:$A$2002&lt;='Control Panel'!$C$3)*('Sales Log'!$G$3:$G$2002))</f>
        <v>#VALUE!</v>
      </c>
      <c r="D6" s="10" t="e">
        <f>SUMPRODUCT(('Sales Log'!$B$3:$B$2002="Akatsi Feed")*('Sales Log'!$C$3:$C$2002="CM")*('Sales Log'!$A$3:$A$2002&gt;='Control Panel'!$B$3)*('Sales Log'!$A$3:$A$2002&lt;='Control Panel'!$C$3)*('Sales Log'!$H$3:$H$2002))</f>
        <v>#VALUE!</v>
      </c>
      <c r="E6" s="10" t="e">
        <f t="shared" si="0"/>
        <v>#VALUE!</v>
      </c>
      <c r="F6" s="29" t="e">
        <f t="shared" si="1"/>
        <v>#VALUE!</v>
      </c>
    </row>
    <row r="7" spans="1:6">
      <c r="A7" t="s">
        <v>25</v>
      </c>
      <c r="B7">
        <f>SUMPRODUCT(('Sales Log'!$B$3:$B$2002="Akatsi Feed")*('Sales Log'!$C$3:$C$2002="BS")*('Sales Log'!$A$3:$A$2002&gt;='Control Panel'!$B$3)*('Sales Log'!$A$3:$A$2002&lt;='Control Panel'!$C$3)*('Sales Log'!$D$3:$D$2002))</f>
        <v>0</v>
      </c>
      <c r="C7" s="10" t="e">
        <f>SUMPRODUCT(('Sales Log'!$B$3:$B$2002="Akatsi Feed")*('Sales Log'!$C$3:$C$2002="BS")*('Sales Log'!$A$3:$A$2002&gt;='Control Panel'!$B$3)*('Sales Log'!$A$3:$A$2002&lt;='Control Panel'!$C$3)*('Sales Log'!$G$3:$G$2002))</f>
        <v>#VALUE!</v>
      </c>
      <c r="D7" s="10" t="e">
        <f>SUMPRODUCT(('Sales Log'!$B$3:$B$2002="Akatsi Feed")*('Sales Log'!$C$3:$C$2002="BS")*('Sales Log'!$A$3:$A$2002&gt;='Control Panel'!$B$3)*('Sales Log'!$A$3:$A$2002&lt;='Control Panel'!$C$3)*('Sales Log'!$H$3:$H$2002))</f>
        <v>#VALUE!</v>
      </c>
      <c r="E7" s="10" t="e">
        <f t="shared" si="0"/>
        <v>#VALUE!</v>
      </c>
      <c r="F7" s="29" t="e">
        <f t="shared" si="1"/>
        <v>#VALUE!</v>
      </c>
    </row>
    <row r="8" spans="1:6">
      <c r="A8" t="s">
        <v>28</v>
      </c>
      <c r="B8">
        <f>SUMPRODUCT(('Sales Log'!$B$3:$B$2002="Akatsi Feed")*('Sales Log'!$C$3:$C$2002="Hend 5%")*('Sales Log'!$A$3:$A$2002&gt;='Control Panel'!$B$3)*('Sales Log'!$A$3:$A$2002&lt;='Control Panel'!$C$3)*('Sales Log'!$D$3:$D$2002))</f>
        <v>0</v>
      </c>
      <c r="C8" s="10" t="e">
        <f>SUMPRODUCT(('Sales Log'!$B$3:$B$2002="Akatsi Feed")*('Sales Log'!$C$3:$C$2002="Hend 5%")*('Sales Log'!$A$3:$A$2002&gt;='Control Panel'!$B$3)*('Sales Log'!$A$3:$A$2002&lt;='Control Panel'!$C$3)*('Sales Log'!$G$3:$G$2002))</f>
        <v>#VALUE!</v>
      </c>
      <c r="D8" s="10" t="e">
        <f>SUMPRODUCT(('Sales Log'!$B$3:$B$2002="Akatsi Feed")*('Sales Log'!$C$3:$C$2002="Hend 5%")*('Sales Log'!$A$3:$A$2002&gt;='Control Panel'!$B$3)*('Sales Log'!$A$3:$A$2002&lt;='Control Panel'!$C$3)*('Sales Log'!$H$3:$H$2002))</f>
        <v>#VALUE!</v>
      </c>
      <c r="E8" s="10" t="e">
        <f t="shared" si="0"/>
        <v>#VALUE!</v>
      </c>
      <c r="F8" s="29" t="e">
        <f t="shared" si="1"/>
        <v>#VALUE!</v>
      </c>
    </row>
    <row r="9" spans="1:6">
      <c r="A9" t="s">
        <v>27</v>
      </c>
      <c r="B9">
        <f>SUMPRODUCT(('Sales Log'!$B$3:$B$2002="Akatsi Feed")*('Sales Log'!$C$3:$C$2002="GMG")*('Sales Log'!$A$3:$A$2002&gt;='Control Panel'!$B$3)*('Sales Log'!$A$3:$A$2002&lt;='Control Panel'!$C$3)*('Sales Log'!$D$3:$D$2002))</f>
        <v>0</v>
      </c>
      <c r="C9" s="10" t="e">
        <f>SUMPRODUCT(('Sales Log'!$B$3:$B$2002="Akatsi Feed")*('Sales Log'!$C$3:$C$2002="GMG")*('Sales Log'!$A$3:$A$2002&gt;='Control Panel'!$B$3)*('Sales Log'!$A$3:$A$2002&lt;='Control Panel'!$C$3)*('Sales Log'!$G$3:$G$2002))</f>
        <v>#VALUE!</v>
      </c>
      <c r="D9" s="10" t="e">
        <f>SUMPRODUCT(('Sales Log'!$B$3:$B$2002="Akatsi Feed")*('Sales Log'!$C$3:$C$2002="GMG")*('Sales Log'!$A$3:$A$2002&gt;='Control Panel'!$B$3)*('Sales Log'!$A$3:$A$2002&lt;='Control Panel'!$C$3)*('Sales Log'!$H$3:$H$2002))</f>
        <v>#VALUE!</v>
      </c>
      <c r="E9" s="10" t="e">
        <f t="shared" si="0"/>
        <v>#VALUE!</v>
      </c>
      <c r="F9" s="29" t="e">
        <f t="shared" si="1"/>
        <v>#VALUE!</v>
      </c>
    </row>
    <row r="10" spans="1:6">
      <c r="A10" t="s">
        <v>33</v>
      </c>
      <c r="B10">
        <f>SUMPRODUCT(('Sales Log'!$B$3:$B$2002="Akatsi Feed")*('Sales Log'!$C$3:$C$2002="Crates")*('Sales Log'!$A$3:$A$2002&gt;='Control Panel'!$B$3)*('Sales Log'!$A$3:$A$2002&lt;='Control Panel'!$C$3)*('Sales Log'!$D$3:$D$2002))</f>
        <v>48</v>
      </c>
      <c r="C10" s="10" t="e">
        <f>SUMPRODUCT(('Sales Log'!$B$3:$B$2002="Akatsi Feed")*('Sales Log'!$C$3:$C$2002="Crates")*('Sales Log'!$A$3:$A$2002&gt;='Control Panel'!$B$3)*('Sales Log'!$A$3:$A$2002&lt;='Control Panel'!$C$3)*('Sales Log'!$G$3:$G$2002))</f>
        <v>#VALUE!</v>
      </c>
      <c r="D10" s="10" t="e">
        <f>SUMPRODUCT(('Sales Log'!$B$3:$B$2002="Akatsi Feed")*('Sales Log'!$C$3:$C$2002="Crates")*('Sales Log'!$A$3:$A$2002&gt;='Control Panel'!$B$3)*('Sales Log'!$A$3:$A$2002&lt;='Control Panel'!$C$3)*('Sales Log'!$H$3:$H$2002))</f>
        <v>#VALUE!</v>
      </c>
      <c r="E10" s="10" t="e">
        <f t="shared" si="0"/>
        <v>#VALUE!</v>
      </c>
      <c r="F10" s="29" t="e">
        <f t="shared" si="1"/>
        <v>#VALUE!</v>
      </c>
    </row>
    <row r="12" spans="1:6">
      <c r="A12" s="51" t="s">
        <v>16</v>
      </c>
      <c r="B12" s="46"/>
      <c r="C12" s="46"/>
      <c r="D12" s="46"/>
      <c r="E12" s="46"/>
      <c r="F12" s="46"/>
    </row>
    <row r="13" spans="1:6">
      <c r="A13" s="4" t="s">
        <v>99</v>
      </c>
      <c r="B13" s="4" t="s">
        <v>110</v>
      </c>
      <c r="C13" s="4" t="s">
        <v>113</v>
      </c>
      <c r="D13" s="4" t="s">
        <v>102</v>
      </c>
      <c r="E13" s="4" t="s">
        <v>114</v>
      </c>
      <c r="F13" s="4" t="s">
        <v>175</v>
      </c>
    </row>
    <row r="14" spans="1:6">
      <c r="A14" t="s">
        <v>13</v>
      </c>
      <c r="B14">
        <f>SUMPRODUCT(('Sales Log'!$B$3:$B$2002="Abor Feed")*('Sales Log'!$C$3:$C$2002="LM")*('Sales Log'!$A$3:$A$2002&gt;='Control Panel'!$B$3)*('Sales Log'!$A$3:$A$2002&lt;='Control Panel'!$C$3)*('Sales Log'!$D$3:$D$2002))</f>
        <v>98</v>
      </c>
      <c r="C14" s="10" t="e">
        <f>SUMPRODUCT(('Sales Log'!$B$3:$B$2002="Abor Feed")*('Sales Log'!$C$3:$C$2002="LM")*('Sales Log'!$A$3:$A$2002&gt;='Control Panel'!$B$3)*('Sales Log'!$A$3:$A$2002&lt;='Control Panel'!$C$3)*('Sales Log'!$G$3:$G$2002))</f>
        <v>#VALUE!</v>
      </c>
      <c r="D14" s="10" t="e">
        <f>SUMPRODUCT(('Sales Log'!$B$3:$B$2002="Abor Feed")*('Sales Log'!$C$3:$C$2002="LM")*('Sales Log'!$A$3:$A$2002&gt;='Control Panel'!$B$3)*('Sales Log'!$A$3:$A$2002&lt;='Control Panel'!$C$3)*('Sales Log'!$H$3:$H$2002))</f>
        <v>#VALUE!</v>
      </c>
      <c r="E14" s="10" t="e">
        <f t="shared" ref="E14:E20" si="2">C14-D14</f>
        <v>#VALUE!</v>
      </c>
      <c r="F14" s="29" t="e">
        <f t="shared" ref="F14:F20" si="3">IF(C14&gt;0,E14/C14*100,0)</f>
        <v>#VALUE!</v>
      </c>
    </row>
    <row r="15" spans="1:6">
      <c r="A15" t="s">
        <v>17</v>
      </c>
      <c r="B15">
        <f>SUMPRODUCT(('Sales Log'!$B$3:$B$2002="Abor Feed")*('Sales Log'!$C$3:$C$2002="GM")*('Sales Log'!$A$3:$A$2002&gt;='Control Panel'!$B$3)*('Sales Log'!$A$3:$A$2002&lt;='Control Panel'!$C$3)*('Sales Log'!$D$3:$D$2002))</f>
        <v>11</v>
      </c>
      <c r="C15" s="10" t="e">
        <f>SUMPRODUCT(('Sales Log'!$B$3:$B$2002="Abor Feed")*('Sales Log'!$C$3:$C$2002="GM")*('Sales Log'!$A$3:$A$2002&gt;='Control Panel'!$B$3)*('Sales Log'!$A$3:$A$2002&lt;='Control Panel'!$C$3)*('Sales Log'!$G$3:$G$2002))</f>
        <v>#VALUE!</v>
      </c>
      <c r="D15" s="10" t="e">
        <f>SUMPRODUCT(('Sales Log'!$B$3:$B$2002="Abor Feed")*('Sales Log'!$C$3:$C$2002="GM")*('Sales Log'!$A$3:$A$2002&gt;='Control Panel'!$B$3)*('Sales Log'!$A$3:$A$2002&lt;='Control Panel'!$C$3)*('Sales Log'!$H$3:$H$2002))</f>
        <v>#VALUE!</v>
      </c>
      <c r="E15" s="10" t="e">
        <f t="shared" si="2"/>
        <v>#VALUE!</v>
      </c>
      <c r="F15" s="29" t="e">
        <f t="shared" si="3"/>
        <v>#VALUE!</v>
      </c>
    </row>
    <row r="16" spans="1:6">
      <c r="A16" t="s">
        <v>21</v>
      </c>
      <c r="B16">
        <f>SUMPRODUCT(('Sales Log'!$B$3:$B$2002="Abor Feed")*('Sales Log'!$C$3:$C$2002="CM")*('Sales Log'!$A$3:$A$2002&gt;='Control Panel'!$B$3)*('Sales Log'!$A$3:$A$2002&lt;='Control Panel'!$C$3)*('Sales Log'!$D$3:$D$2002))</f>
        <v>0</v>
      </c>
      <c r="C16" s="10" t="e">
        <f>SUMPRODUCT(('Sales Log'!$B$3:$B$2002="Abor Feed")*('Sales Log'!$C$3:$C$2002="CM")*('Sales Log'!$A$3:$A$2002&gt;='Control Panel'!$B$3)*('Sales Log'!$A$3:$A$2002&lt;='Control Panel'!$C$3)*('Sales Log'!$G$3:$G$2002))</f>
        <v>#VALUE!</v>
      </c>
      <c r="D16" s="10" t="e">
        <f>SUMPRODUCT(('Sales Log'!$B$3:$B$2002="Abor Feed")*('Sales Log'!$C$3:$C$2002="CM")*('Sales Log'!$A$3:$A$2002&gt;='Control Panel'!$B$3)*('Sales Log'!$A$3:$A$2002&lt;='Control Panel'!$C$3)*('Sales Log'!$H$3:$H$2002))</f>
        <v>#VALUE!</v>
      </c>
      <c r="E16" s="10" t="e">
        <f t="shared" si="2"/>
        <v>#VALUE!</v>
      </c>
      <c r="F16" s="29" t="e">
        <f t="shared" si="3"/>
        <v>#VALUE!</v>
      </c>
    </row>
    <row r="17" spans="1:6">
      <c r="A17" t="s">
        <v>25</v>
      </c>
      <c r="B17">
        <f>SUMPRODUCT(('Sales Log'!$B$3:$B$2002="Abor Feed")*('Sales Log'!$C$3:$C$2002="BS")*('Sales Log'!$A$3:$A$2002&gt;='Control Panel'!$B$3)*('Sales Log'!$A$3:$A$2002&lt;='Control Panel'!$C$3)*('Sales Log'!$D$3:$D$2002))</f>
        <v>0</v>
      </c>
      <c r="C17" s="10" t="e">
        <f>SUMPRODUCT(('Sales Log'!$B$3:$B$2002="Abor Feed")*('Sales Log'!$C$3:$C$2002="BS")*('Sales Log'!$A$3:$A$2002&gt;='Control Panel'!$B$3)*('Sales Log'!$A$3:$A$2002&lt;='Control Panel'!$C$3)*('Sales Log'!$G$3:$G$2002))</f>
        <v>#VALUE!</v>
      </c>
      <c r="D17" s="10" t="e">
        <f>SUMPRODUCT(('Sales Log'!$B$3:$B$2002="Abor Feed")*('Sales Log'!$C$3:$C$2002="BS")*('Sales Log'!$A$3:$A$2002&gt;='Control Panel'!$B$3)*('Sales Log'!$A$3:$A$2002&lt;='Control Panel'!$C$3)*('Sales Log'!$H$3:$H$2002))</f>
        <v>#VALUE!</v>
      </c>
      <c r="E17" s="10" t="e">
        <f t="shared" si="2"/>
        <v>#VALUE!</v>
      </c>
      <c r="F17" s="29" t="e">
        <f t="shared" si="3"/>
        <v>#VALUE!</v>
      </c>
    </row>
    <row r="18" spans="1:6">
      <c r="A18" t="s">
        <v>28</v>
      </c>
      <c r="B18">
        <f>SUMPRODUCT(('Sales Log'!$B$3:$B$2002="Abor Feed")*('Sales Log'!$C$3:$C$2002="Hend 5%")*('Sales Log'!$A$3:$A$2002&gt;='Control Panel'!$B$3)*('Sales Log'!$A$3:$A$2002&lt;='Control Panel'!$C$3)*('Sales Log'!$D$3:$D$2002))</f>
        <v>0</v>
      </c>
      <c r="C18" s="10" t="e">
        <f>SUMPRODUCT(('Sales Log'!$B$3:$B$2002="Abor Feed")*('Sales Log'!$C$3:$C$2002="Hend 5%")*('Sales Log'!$A$3:$A$2002&gt;='Control Panel'!$B$3)*('Sales Log'!$A$3:$A$2002&lt;='Control Panel'!$C$3)*('Sales Log'!$G$3:$G$2002))</f>
        <v>#VALUE!</v>
      </c>
      <c r="D18" s="10" t="e">
        <f>SUMPRODUCT(('Sales Log'!$B$3:$B$2002="Abor Feed")*('Sales Log'!$C$3:$C$2002="Hend 5%")*('Sales Log'!$A$3:$A$2002&gt;='Control Panel'!$B$3)*('Sales Log'!$A$3:$A$2002&lt;='Control Panel'!$C$3)*('Sales Log'!$H$3:$H$2002))</f>
        <v>#VALUE!</v>
      </c>
      <c r="E18" s="10" t="e">
        <f t="shared" si="2"/>
        <v>#VALUE!</v>
      </c>
      <c r="F18" s="29" t="e">
        <f t="shared" si="3"/>
        <v>#VALUE!</v>
      </c>
    </row>
    <row r="19" spans="1:6">
      <c r="A19" t="s">
        <v>27</v>
      </c>
      <c r="B19">
        <f>SUMPRODUCT(('Sales Log'!$B$3:$B$2002="Abor Feed")*('Sales Log'!$C$3:$C$2002="GMG")*('Sales Log'!$A$3:$A$2002&gt;='Control Panel'!$B$3)*('Sales Log'!$A$3:$A$2002&lt;='Control Panel'!$C$3)*('Sales Log'!$D$3:$D$2002))</f>
        <v>0</v>
      </c>
      <c r="C19" s="10" t="e">
        <f>SUMPRODUCT(('Sales Log'!$B$3:$B$2002="Abor Feed")*('Sales Log'!$C$3:$C$2002="GMG")*('Sales Log'!$A$3:$A$2002&gt;='Control Panel'!$B$3)*('Sales Log'!$A$3:$A$2002&lt;='Control Panel'!$C$3)*('Sales Log'!$G$3:$G$2002))</f>
        <v>#VALUE!</v>
      </c>
      <c r="D19" s="10" t="e">
        <f>SUMPRODUCT(('Sales Log'!$B$3:$B$2002="Abor Feed")*('Sales Log'!$C$3:$C$2002="GMG")*('Sales Log'!$A$3:$A$2002&gt;='Control Panel'!$B$3)*('Sales Log'!$A$3:$A$2002&lt;='Control Panel'!$C$3)*('Sales Log'!$H$3:$H$2002))</f>
        <v>#VALUE!</v>
      </c>
      <c r="E19" s="10" t="e">
        <f t="shared" si="2"/>
        <v>#VALUE!</v>
      </c>
      <c r="F19" s="29" t="e">
        <f t="shared" si="3"/>
        <v>#VALUE!</v>
      </c>
    </row>
    <row r="20" spans="1:6">
      <c r="A20" t="s">
        <v>33</v>
      </c>
      <c r="B20">
        <f>SUMPRODUCT(('Sales Log'!$B$3:$B$2002="Abor Feed")*('Sales Log'!$C$3:$C$2002="Crates")*('Sales Log'!$A$3:$A$2002&gt;='Control Panel'!$B$3)*('Sales Log'!$A$3:$A$2002&lt;='Control Panel'!$C$3)*('Sales Log'!$D$3:$D$2002))</f>
        <v>2</v>
      </c>
      <c r="C20" s="10" t="e">
        <f>SUMPRODUCT(('Sales Log'!$B$3:$B$2002="Abor Feed")*('Sales Log'!$C$3:$C$2002="Crates")*('Sales Log'!$A$3:$A$2002&gt;='Control Panel'!$B$3)*('Sales Log'!$A$3:$A$2002&lt;='Control Panel'!$C$3)*('Sales Log'!$G$3:$G$2002))</f>
        <v>#VALUE!</v>
      </c>
      <c r="D20" s="10" t="e">
        <f>SUMPRODUCT(('Sales Log'!$B$3:$B$2002="Abor Feed")*('Sales Log'!$C$3:$C$2002="Crates")*('Sales Log'!$A$3:$A$2002&gt;='Control Panel'!$B$3)*('Sales Log'!$A$3:$A$2002&lt;='Control Panel'!$C$3)*('Sales Log'!$H$3:$H$2002))</f>
        <v>#VALUE!</v>
      </c>
      <c r="E20" s="10" t="e">
        <f t="shared" si="2"/>
        <v>#VALUE!</v>
      </c>
      <c r="F20" s="29" t="e">
        <f t="shared" si="3"/>
        <v>#VALUE!</v>
      </c>
    </row>
    <row r="22" spans="1:6">
      <c r="A22" s="51" t="s">
        <v>20</v>
      </c>
      <c r="B22" s="46"/>
      <c r="C22" s="46"/>
      <c r="D22" s="46"/>
      <c r="E22" s="46"/>
      <c r="F22" s="46"/>
    </row>
    <row r="23" spans="1:6">
      <c r="A23" s="4" t="s">
        <v>99</v>
      </c>
      <c r="B23" s="4" t="s">
        <v>110</v>
      </c>
      <c r="C23" s="4" t="s">
        <v>113</v>
      </c>
      <c r="D23" s="4" t="s">
        <v>102</v>
      </c>
      <c r="E23" s="4" t="s">
        <v>114</v>
      </c>
      <c r="F23" s="4" t="s">
        <v>175</v>
      </c>
    </row>
    <row r="24" spans="1:6">
      <c r="A24" t="s">
        <v>13</v>
      </c>
      <c r="B24">
        <f>SUMPRODUCT(('Sales Log'!$B$3:$B$2002="Mobile Shop")*('Sales Log'!$C$3:$C$2002="LM")*('Sales Log'!$A$3:$A$2002&gt;='Control Panel'!$B$3)*('Sales Log'!$A$3:$A$2002&lt;='Control Panel'!$C$3)*('Sales Log'!$D$3:$D$2002))</f>
        <v>143</v>
      </c>
      <c r="C24" s="10" t="e">
        <f>SUMPRODUCT(('Sales Log'!$B$3:$B$2002="Mobile Shop")*('Sales Log'!$C$3:$C$2002="LM")*('Sales Log'!$A$3:$A$2002&gt;='Control Panel'!$B$3)*('Sales Log'!$A$3:$A$2002&lt;='Control Panel'!$C$3)*('Sales Log'!$G$3:$G$2002))</f>
        <v>#VALUE!</v>
      </c>
      <c r="D24" s="10" t="e">
        <f>SUMPRODUCT(('Sales Log'!$B$3:$B$2002="Mobile Shop")*('Sales Log'!$C$3:$C$2002="LM")*('Sales Log'!$A$3:$A$2002&gt;='Control Panel'!$B$3)*('Sales Log'!$A$3:$A$2002&lt;='Control Panel'!$C$3)*('Sales Log'!$H$3:$H$2002))</f>
        <v>#VALUE!</v>
      </c>
      <c r="E24" s="10" t="e">
        <f t="shared" ref="E24:E30" si="4">C24-D24</f>
        <v>#VALUE!</v>
      </c>
      <c r="F24" s="29" t="e">
        <f t="shared" ref="F24:F30" si="5">IF(C24&gt;0,E24/C24*100,0)</f>
        <v>#VALUE!</v>
      </c>
    </row>
    <row r="25" spans="1:6">
      <c r="A25" t="s">
        <v>17</v>
      </c>
      <c r="B25">
        <f>SUMPRODUCT(('Sales Log'!$B$3:$B$2002="Mobile Shop")*('Sales Log'!$C$3:$C$2002="GM")*('Sales Log'!$A$3:$A$2002&gt;='Control Panel'!$B$3)*('Sales Log'!$A$3:$A$2002&lt;='Control Panel'!$C$3)*('Sales Log'!$D$3:$D$2002))</f>
        <v>2</v>
      </c>
      <c r="C25" s="10" t="e">
        <f>SUMPRODUCT(('Sales Log'!$B$3:$B$2002="Mobile Shop")*('Sales Log'!$C$3:$C$2002="GM")*('Sales Log'!$A$3:$A$2002&gt;='Control Panel'!$B$3)*('Sales Log'!$A$3:$A$2002&lt;='Control Panel'!$C$3)*('Sales Log'!$G$3:$G$2002))</f>
        <v>#VALUE!</v>
      </c>
      <c r="D25" s="10" t="e">
        <f>SUMPRODUCT(('Sales Log'!$B$3:$B$2002="Mobile Shop")*('Sales Log'!$C$3:$C$2002="GM")*('Sales Log'!$A$3:$A$2002&gt;='Control Panel'!$B$3)*('Sales Log'!$A$3:$A$2002&lt;='Control Panel'!$C$3)*('Sales Log'!$H$3:$H$2002))</f>
        <v>#VALUE!</v>
      </c>
      <c r="E25" s="10" t="e">
        <f t="shared" si="4"/>
        <v>#VALUE!</v>
      </c>
      <c r="F25" s="29" t="e">
        <f t="shared" si="5"/>
        <v>#VALUE!</v>
      </c>
    </row>
    <row r="26" spans="1:6">
      <c r="A26" t="s">
        <v>21</v>
      </c>
      <c r="B26">
        <f>SUMPRODUCT(('Sales Log'!$B$3:$B$2002="Mobile Shop")*('Sales Log'!$C$3:$C$2002="CM")*('Sales Log'!$A$3:$A$2002&gt;='Control Panel'!$B$3)*('Sales Log'!$A$3:$A$2002&lt;='Control Panel'!$C$3)*('Sales Log'!$D$3:$D$2002))</f>
        <v>0</v>
      </c>
      <c r="C26" s="10" t="e">
        <f>SUMPRODUCT(('Sales Log'!$B$3:$B$2002="Mobile Shop")*('Sales Log'!$C$3:$C$2002="CM")*('Sales Log'!$A$3:$A$2002&gt;='Control Panel'!$B$3)*('Sales Log'!$A$3:$A$2002&lt;='Control Panel'!$C$3)*('Sales Log'!$G$3:$G$2002))</f>
        <v>#VALUE!</v>
      </c>
      <c r="D26" s="10" t="e">
        <f>SUMPRODUCT(('Sales Log'!$B$3:$B$2002="Mobile Shop")*('Sales Log'!$C$3:$C$2002="CM")*('Sales Log'!$A$3:$A$2002&gt;='Control Panel'!$B$3)*('Sales Log'!$A$3:$A$2002&lt;='Control Panel'!$C$3)*('Sales Log'!$H$3:$H$2002))</f>
        <v>#VALUE!</v>
      </c>
      <c r="E26" s="10" t="e">
        <f t="shared" si="4"/>
        <v>#VALUE!</v>
      </c>
      <c r="F26" s="29" t="e">
        <f t="shared" si="5"/>
        <v>#VALUE!</v>
      </c>
    </row>
    <row r="27" spans="1:6">
      <c r="A27" t="s">
        <v>25</v>
      </c>
      <c r="B27">
        <f>SUMPRODUCT(('Sales Log'!$B$3:$B$2002="Mobile Shop")*('Sales Log'!$C$3:$C$2002="BS")*('Sales Log'!$A$3:$A$2002&gt;='Control Panel'!$B$3)*('Sales Log'!$A$3:$A$2002&lt;='Control Panel'!$C$3)*('Sales Log'!$D$3:$D$2002))</f>
        <v>0</v>
      </c>
      <c r="C27" s="10" t="e">
        <f>SUMPRODUCT(('Sales Log'!$B$3:$B$2002="Mobile Shop")*('Sales Log'!$C$3:$C$2002="BS")*('Sales Log'!$A$3:$A$2002&gt;='Control Panel'!$B$3)*('Sales Log'!$A$3:$A$2002&lt;='Control Panel'!$C$3)*('Sales Log'!$G$3:$G$2002))</f>
        <v>#VALUE!</v>
      </c>
      <c r="D27" s="10" t="e">
        <f>SUMPRODUCT(('Sales Log'!$B$3:$B$2002="Mobile Shop")*('Sales Log'!$C$3:$C$2002="BS")*('Sales Log'!$A$3:$A$2002&gt;='Control Panel'!$B$3)*('Sales Log'!$A$3:$A$2002&lt;='Control Panel'!$C$3)*('Sales Log'!$H$3:$H$2002))</f>
        <v>#VALUE!</v>
      </c>
      <c r="E27" s="10" t="e">
        <f t="shared" si="4"/>
        <v>#VALUE!</v>
      </c>
      <c r="F27" s="29" t="e">
        <f t="shared" si="5"/>
        <v>#VALUE!</v>
      </c>
    </row>
    <row r="28" spans="1:6">
      <c r="A28" t="s">
        <v>28</v>
      </c>
      <c r="B28">
        <f>SUMPRODUCT(('Sales Log'!$B$3:$B$2002="Mobile Shop")*('Sales Log'!$C$3:$C$2002="Hend 5%")*('Sales Log'!$A$3:$A$2002&gt;='Control Panel'!$B$3)*('Sales Log'!$A$3:$A$2002&lt;='Control Panel'!$C$3)*('Sales Log'!$D$3:$D$2002))</f>
        <v>10</v>
      </c>
      <c r="C28" s="10" t="e">
        <f>SUMPRODUCT(('Sales Log'!$B$3:$B$2002="Mobile Shop")*('Sales Log'!$C$3:$C$2002="Hend 5%")*('Sales Log'!$A$3:$A$2002&gt;='Control Panel'!$B$3)*('Sales Log'!$A$3:$A$2002&lt;='Control Panel'!$C$3)*('Sales Log'!$G$3:$G$2002))</f>
        <v>#VALUE!</v>
      </c>
      <c r="D28" s="10" t="e">
        <f>SUMPRODUCT(('Sales Log'!$B$3:$B$2002="Mobile Shop")*('Sales Log'!$C$3:$C$2002="Hend 5%")*('Sales Log'!$A$3:$A$2002&gt;='Control Panel'!$B$3)*('Sales Log'!$A$3:$A$2002&lt;='Control Panel'!$C$3)*('Sales Log'!$H$3:$H$2002))</f>
        <v>#VALUE!</v>
      </c>
      <c r="E28" s="10" t="e">
        <f t="shared" si="4"/>
        <v>#VALUE!</v>
      </c>
      <c r="F28" s="29" t="e">
        <f t="shared" si="5"/>
        <v>#VALUE!</v>
      </c>
    </row>
    <row r="29" spans="1:6">
      <c r="A29" t="s">
        <v>27</v>
      </c>
      <c r="B29">
        <f>SUMPRODUCT(('Sales Log'!$B$3:$B$2002="Mobile Shop")*('Sales Log'!$C$3:$C$2002="GMG")*('Sales Log'!$A$3:$A$2002&gt;='Control Panel'!$B$3)*('Sales Log'!$A$3:$A$2002&lt;='Control Panel'!$C$3)*('Sales Log'!$D$3:$D$2002))</f>
        <v>0</v>
      </c>
      <c r="C29" s="10" t="e">
        <f>SUMPRODUCT(('Sales Log'!$B$3:$B$2002="Mobile Shop")*('Sales Log'!$C$3:$C$2002="GMG")*('Sales Log'!$A$3:$A$2002&gt;='Control Panel'!$B$3)*('Sales Log'!$A$3:$A$2002&lt;='Control Panel'!$C$3)*('Sales Log'!$G$3:$G$2002))</f>
        <v>#VALUE!</v>
      </c>
      <c r="D29" s="10" t="e">
        <f>SUMPRODUCT(('Sales Log'!$B$3:$B$2002="Mobile Shop")*('Sales Log'!$C$3:$C$2002="GMG")*('Sales Log'!$A$3:$A$2002&gt;='Control Panel'!$B$3)*('Sales Log'!$A$3:$A$2002&lt;='Control Panel'!$C$3)*('Sales Log'!$H$3:$H$2002))</f>
        <v>#VALUE!</v>
      </c>
      <c r="E29" s="10" t="e">
        <f t="shared" si="4"/>
        <v>#VALUE!</v>
      </c>
      <c r="F29" s="29" t="e">
        <f t="shared" si="5"/>
        <v>#VALUE!</v>
      </c>
    </row>
    <row r="30" spans="1:6">
      <c r="A30" t="s">
        <v>33</v>
      </c>
      <c r="B30">
        <f>SUMPRODUCT(('Sales Log'!$B$3:$B$2002="Mobile Shop")*('Sales Log'!$C$3:$C$2002="Crates")*('Sales Log'!$A$3:$A$2002&gt;='Control Panel'!$B$3)*('Sales Log'!$A$3:$A$2002&lt;='Control Panel'!$C$3)*('Sales Log'!$D$3:$D$2002))</f>
        <v>0</v>
      </c>
      <c r="C30" s="10" t="e">
        <f>SUMPRODUCT(('Sales Log'!$B$3:$B$2002="Mobile Shop")*('Sales Log'!$C$3:$C$2002="Crates")*('Sales Log'!$A$3:$A$2002&gt;='Control Panel'!$B$3)*('Sales Log'!$A$3:$A$2002&lt;='Control Panel'!$C$3)*('Sales Log'!$G$3:$G$2002))</f>
        <v>#VALUE!</v>
      </c>
      <c r="D30" s="10" t="e">
        <f>SUMPRODUCT(('Sales Log'!$B$3:$B$2002="Mobile Shop")*('Sales Log'!$C$3:$C$2002="Crates")*('Sales Log'!$A$3:$A$2002&gt;='Control Panel'!$B$3)*('Sales Log'!$A$3:$A$2002&lt;='Control Panel'!$C$3)*('Sales Log'!$H$3:$H$2002))</f>
        <v>#VALUE!</v>
      </c>
      <c r="E30" s="10" t="e">
        <f t="shared" si="4"/>
        <v>#VALUE!</v>
      </c>
      <c r="F30" s="29" t="e">
        <f t="shared" si="5"/>
        <v>#VALUE!</v>
      </c>
    </row>
    <row r="32" spans="1:6">
      <c r="A32" s="51" t="s">
        <v>24</v>
      </c>
      <c r="B32" s="46"/>
      <c r="C32" s="46"/>
      <c r="D32" s="46"/>
      <c r="E32" s="46"/>
      <c r="F32" s="46"/>
    </row>
    <row r="33" spans="1:6">
      <c r="A33" s="4" t="s">
        <v>99</v>
      </c>
      <c r="B33" s="4" t="s">
        <v>110</v>
      </c>
      <c r="C33" s="4" t="s">
        <v>113</v>
      </c>
      <c r="D33" s="4" t="s">
        <v>102</v>
      </c>
      <c r="E33" s="4" t="s">
        <v>114</v>
      </c>
      <c r="F33" s="4" t="s">
        <v>175</v>
      </c>
    </row>
    <row r="34" spans="1:6">
      <c r="A34" t="s">
        <v>14</v>
      </c>
      <c r="B34">
        <f>SUMPRODUCT(('Sales Log'!$B$3:$B$2002="Egg Shop")*('Sales Log'!$C$3:$C$2002="Extra Large")*('Sales Log'!$A$3:$A$2002&gt;='Control Panel'!$B$3)*('Sales Log'!$A$3:$A$2002&lt;='Control Panel'!$C$3)*('Sales Log'!$D$3:$D$2002))</f>
        <v>2</v>
      </c>
      <c r="C34" s="10" t="e">
        <f>SUMPRODUCT(('Sales Log'!$B$3:$B$2002="Egg Shop")*('Sales Log'!$C$3:$C$2002="Extra Large")*('Sales Log'!$A$3:$A$2002&gt;='Control Panel'!$B$3)*('Sales Log'!$A$3:$A$2002&lt;='Control Panel'!$C$3)*('Sales Log'!$G$3:$G$2002))</f>
        <v>#VALUE!</v>
      </c>
      <c r="D34" s="10" t="e">
        <f>SUMPRODUCT(('Sales Log'!$B$3:$B$2002="Egg Shop")*('Sales Log'!$C$3:$C$2002="Extra Large")*('Sales Log'!$A$3:$A$2002&gt;='Control Panel'!$B$3)*('Sales Log'!$A$3:$A$2002&lt;='Control Panel'!$C$3)*('Sales Log'!$H$3:$H$2002))</f>
        <v>#VALUE!</v>
      </c>
      <c r="E34" s="10" t="e">
        <f t="shared" ref="E34:E40" si="6">C34-D34</f>
        <v>#VALUE!</v>
      </c>
      <c r="F34" s="29" t="e">
        <f t="shared" ref="F34:F40" si="7">IF(C34&gt;0,E34/C34*100,0)</f>
        <v>#VALUE!</v>
      </c>
    </row>
    <row r="35" spans="1:6">
      <c r="A35" t="s">
        <v>18</v>
      </c>
      <c r="B35">
        <f>SUMPRODUCT(('Sales Log'!$B$3:$B$2002="Egg Shop")*('Sales Log'!$C$3:$C$2002="Large")*('Sales Log'!$A$3:$A$2002&gt;='Control Panel'!$B$3)*('Sales Log'!$A$3:$A$2002&lt;='Control Panel'!$C$3)*('Sales Log'!$D$3:$D$2002))</f>
        <v>79</v>
      </c>
      <c r="C35" s="10" t="e">
        <f>SUMPRODUCT(('Sales Log'!$B$3:$B$2002="Egg Shop")*('Sales Log'!$C$3:$C$2002="Large")*('Sales Log'!$A$3:$A$2002&gt;='Control Panel'!$B$3)*('Sales Log'!$A$3:$A$2002&lt;='Control Panel'!$C$3)*('Sales Log'!$G$3:$G$2002))</f>
        <v>#VALUE!</v>
      </c>
      <c r="D35" s="10" t="e">
        <f>SUMPRODUCT(('Sales Log'!$B$3:$B$2002="Egg Shop")*('Sales Log'!$C$3:$C$2002="Large")*('Sales Log'!$A$3:$A$2002&gt;='Control Panel'!$B$3)*('Sales Log'!$A$3:$A$2002&lt;='Control Panel'!$C$3)*('Sales Log'!$H$3:$H$2002))</f>
        <v>#VALUE!</v>
      </c>
      <c r="E35" s="10" t="e">
        <f t="shared" si="6"/>
        <v>#VALUE!</v>
      </c>
      <c r="F35" s="29" t="e">
        <f t="shared" si="7"/>
        <v>#VALUE!</v>
      </c>
    </row>
    <row r="36" spans="1:6">
      <c r="A36" t="s">
        <v>22</v>
      </c>
      <c r="B36">
        <f>SUMPRODUCT(('Sales Log'!$B$3:$B$2002="Egg Shop")*('Sales Log'!$C$3:$C$2002="Medium")*('Sales Log'!$A$3:$A$2002&gt;='Control Panel'!$B$3)*('Sales Log'!$A$3:$A$2002&lt;='Control Panel'!$C$3)*('Sales Log'!$D$3:$D$2002))</f>
        <v>401</v>
      </c>
      <c r="C36" s="10" t="e">
        <f>SUMPRODUCT(('Sales Log'!$B$3:$B$2002="Egg Shop")*('Sales Log'!$C$3:$C$2002="Medium")*('Sales Log'!$A$3:$A$2002&gt;='Control Panel'!$B$3)*('Sales Log'!$A$3:$A$2002&lt;='Control Panel'!$C$3)*('Sales Log'!$G$3:$G$2002))</f>
        <v>#VALUE!</v>
      </c>
      <c r="D36" s="10" t="e">
        <f>SUMPRODUCT(('Sales Log'!$B$3:$B$2002="Egg Shop")*('Sales Log'!$C$3:$C$2002="Medium")*('Sales Log'!$A$3:$A$2002&gt;='Control Panel'!$B$3)*('Sales Log'!$A$3:$A$2002&lt;='Control Panel'!$C$3)*('Sales Log'!$H$3:$H$2002))</f>
        <v>#VALUE!</v>
      </c>
      <c r="E36" s="10" t="e">
        <f t="shared" si="6"/>
        <v>#VALUE!</v>
      </c>
      <c r="F36" s="29" t="e">
        <f t="shared" si="7"/>
        <v>#VALUE!</v>
      </c>
    </row>
    <row r="37" spans="1:6">
      <c r="A37" t="s">
        <v>26</v>
      </c>
      <c r="B37">
        <f>SUMPRODUCT(('Sales Log'!$B$3:$B$2002="Egg Shop")*('Sales Log'!$C$3:$C$2002="Small")*('Sales Log'!$A$3:$A$2002&gt;='Control Panel'!$B$3)*('Sales Log'!$A$3:$A$2002&lt;='Control Panel'!$C$3)*('Sales Log'!$D$3:$D$2002))</f>
        <v>930.5</v>
      </c>
      <c r="C37" s="10" t="e">
        <f>SUMPRODUCT(('Sales Log'!$B$3:$B$2002="Egg Shop")*('Sales Log'!$C$3:$C$2002="Small")*('Sales Log'!$A$3:$A$2002&gt;='Control Panel'!$B$3)*('Sales Log'!$A$3:$A$2002&lt;='Control Panel'!$C$3)*('Sales Log'!$G$3:$G$2002))</f>
        <v>#VALUE!</v>
      </c>
      <c r="D37" s="10" t="e">
        <f>SUMPRODUCT(('Sales Log'!$B$3:$B$2002="Egg Shop")*('Sales Log'!$C$3:$C$2002="Small")*('Sales Log'!$A$3:$A$2002&gt;='Control Panel'!$B$3)*('Sales Log'!$A$3:$A$2002&lt;='Control Panel'!$C$3)*('Sales Log'!$H$3:$H$2002))</f>
        <v>#VALUE!</v>
      </c>
      <c r="E37" s="10" t="e">
        <f t="shared" si="6"/>
        <v>#VALUE!</v>
      </c>
      <c r="F37" s="29" t="e">
        <f t="shared" si="7"/>
        <v>#VALUE!</v>
      </c>
    </row>
    <row r="38" spans="1:6">
      <c r="A38" t="s">
        <v>29</v>
      </c>
      <c r="B38">
        <f>SUMPRODUCT(('Sales Log'!$B$3:$B$2002="Egg Shop")*('Sales Log'!$C$3:$C$2002="Pullet 1")*('Sales Log'!$A$3:$A$2002&gt;='Control Panel'!$B$3)*('Sales Log'!$A$3:$A$2002&lt;='Control Panel'!$C$3)*('Sales Log'!$D$3:$D$2002))</f>
        <v>1099</v>
      </c>
      <c r="C38" s="10" t="e">
        <f>SUMPRODUCT(('Sales Log'!$B$3:$B$2002="Egg Shop")*('Sales Log'!$C$3:$C$2002="Pullet 1")*('Sales Log'!$A$3:$A$2002&gt;='Control Panel'!$B$3)*('Sales Log'!$A$3:$A$2002&lt;='Control Panel'!$C$3)*('Sales Log'!$G$3:$G$2002))</f>
        <v>#VALUE!</v>
      </c>
      <c r="D38" s="10" t="e">
        <f>SUMPRODUCT(('Sales Log'!$B$3:$B$2002="Egg Shop")*('Sales Log'!$C$3:$C$2002="Pullet 1")*('Sales Log'!$A$3:$A$2002&gt;='Control Panel'!$B$3)*('Sales Log'!$A$3:$A$2002&lt;='Control Panel'!$C$3)*('Sales Log'!$H$3:$H$2002))</f>
        <v>#VALUE!</v>
      </c>
      <c r="E38" s="10" t="e">
        <f t="shared" si="6"/>
        <v>#VALUE!</v>
      </c>
      <c r="F38" s="29" t="e">
        <f t="shared" si="7"/>
        <v>#VALUE!</v>
      </c>
    </row>
    <row r="39" spans="1:6">
      <c r="A39" t="s">
        <v>31</v>
      </c>
      <c r="B39">
        <f>SUMPRODUCT(('Sales Log'!$B$3:$B$2002="Egg Shop")*('Sales Log'!$C$3:$C$2002="Pullet 2")*('Sales Log'!$A$3:$A$2002&gt;='Control Panel'!$B$3)*('Sales Log'!$A$3:$A$2002&lt;='Control Panel'!$C$3)*('Sales Log'!$D$3:$D$2002))</f>
        <v>251</v>
      </c>
      <c r="C39" s="10" t="e">
        <f>SUMPRODUCT(('Sales Log'!$B$3:$B$2002="Egg Shop")*('Sales Log'!$C$3:$C$2002="Pullet 2")*('Sales Log'!$A$3:$A$2002&gt;='Control Panel'!$B$3)*('Sales Log'!$A$3:$A$2002&lt;='Control Panel'!$C$3)*('Sales Log'!$G$3:$G$2002))</f>
        <v>#VALUE!</v>
      </c>
      <c r="D39" s="10" t="e">
        <f>SUMPRODUCT(('Sales Log'!$B$3:$B$2002="Egg Shop")*('Sales Log'!$C$3:$C$2002="Pullet 2")*('Sales Log'!$A$3:$A$2002&gt;='Control Panel'!$B$3)*('Sales Log'!$A$3:$A$2002&lt;='Control Panel'!$C$3)*('Sales Log'!$H$3:$H$2002))</f>
        <v>#VALUE!</v>
      </c>
      <c r="E39" s="10" t="e">
        <f t="shared" si="6"/>
        <v>#VALUE!</v>
      </c>
      <c r="F39" s="29" t="e">
        <f t="shared" si="7"/>
        <v>#VALUE!</v>
      </c>
    </row>
    <row r="40" spans="1:6">
      <c r="A40" t="s">
        <v>34</v>
      </c>
      <c r="B40">
        <f>SUMPRODUCT(('Sales Log'!$B$3:$B$2002="Egg Shop")*('Sales Log'!$C$3:$C$2002="Broken")*('Sales Log'!$A$3:$A$2002&gt;='Control Panel'!$B$3)*('Sales Log'!$A$3:$A$2002&lt;='Control Panel'!$C$3)*('Sales Log'!$D$3:$D$2002))</f>
        <v>16.5</v>
      </c>
      <c r="C40" s="10" t="e">
        <f>SUMPRODUCT(('Sales Log'!$B$3:$B$2002="Egg Shop")*('Sales Log'!$C$3:$C$2002="Broken")*('Sales Log'!$A$3:$A$2002&gt;='Control Panel'!$B$3)*('Sales Log'!$A$3:$A$2002&lt;='Control Panel'!$C$3)*('Sales Log'!$G$3:$G$2002))</f>
        <v>#VALUE!</v>
      </c>
      <c r="D40" s="10" t="e">
        <f>SUMPRODUCT(('Sales Log'!$B$3:$B$2002="Egg Shop")*('Sales Log'!$C$3:$C$2002="Broken")*('Sales Log'!$A$3:$A$2002&gt;='Control Panel'!$B$3)*('Sales Log'!$A$3:$A$2002&lt;='Control Panel'!$C$3)*('Sales Log'!$H$3:$H$2002))</f>
        <v>#VALUE!</v>
      </c>
      <c r="E40" s="10" t="e">
        <f t="shared" si="6"/>
        <v>#VALUE!</v>
      </c>
      <c r="F40" s="29" t="e">
        <f t="shared" si="7"/>
        <v>#VALUE!</v>
      </c>
    </row>
  </sheetData>
  <sheetProtection password="EF81" sheet="1"/>
  <mergeCells count="5">
    <mergeCell ref="A2:F2"/>
    <mergeCell ref="A1:F1"/>
    <mergeCell ref="A32:F32"/>
    <mergeCell ref="A22:F22"/>
    <mergeCell ref="A12:F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4" topLeftCell="A5" activePane="bottomLeft" state="frozen"/>
      <selection pane="bottomLeft" sqref="A1:H1"/>
    </sheetView>
  </sheetViews>
  <sheetFormatPr defaultRowHeight="14.4"/>
  <cols>
    <col min="1" max="1" width="8" style="30" customWidth="1"/>
    <col min="2" max="2" width="28" style="30" customWidth="1"/>
    <col min="3" max="3" width="14" style="30" customWidth="1"/>
    <col min="4" max="5" width="22" style="30" customWidth="1"/>
    <col min="6" max="6" width="16" style="30" customWidth="1"/>
    <col min="7" max="7" width="22" style="30" customWidth="1"/>
    <col min="8" max="8" width="26" style="30" customWidth="1"/>
  </cols>
  <sheetData>
    <row r="1" spans="1:8" ht="18">
      <c r="A1" s="55" t="s">
        <v>176</v>
      </c>
      <c r="B1" s="46"/>
      <c r="C1" s="46"/>
      <c r="D1" s="46"/>
      <c r="E1" s="46"/>
      <c r="F1" s="46"/>
      <c r="G1" s="46"/>
      <c r="H1" s="46"/>
    </row>
    <row r="2" spans="1:8">
      <c r="A2" s="59" t="s">
        <v>177</v>
      </c>
      <c r="B2" s="46"/>
      <c r="C2" s="46"/>
      <c r="D2" s="46"/>
      <c r="E2" s="46"/>
      <c r="F2" s="46"/>
      <c r="G2" s="46"/>
      <c r="H2" s="46"/>
    </row>
    <row r="4" spans="1:8" ht="36" customHeight="1">
      <c r="A4" s="32" t="s">
        <v>178</v>
      </c>
      <c r="B4" s="32" t="s">
        <v>179</v>
      </c>
      <c r="C4" s="32" t="s">
        <v>2</v>
      </c>
      <c r="D4" s="32" t="s">
        <v>180</v>
      </c>
      <c r="E4" s="32" t="s">
        <v>181</v>
      </c>
      <c r="F4" s="32" t="s">
        <v>182</v>
      </c>
      <c r="G4" s="32" t="s">
        <v>183</v>
      </c>
      <c r="H4" s="32" t="s">
        <v>184</v>
      </c>
    </row>
    <row r="5" spans="1:8">
      <c r="A5" s="33">
        <v>1</v>
      </c>
      <c r="B5" s="34"/>
      <c r="C5" s="35"/>
      <c r="D5" s="36"/>
      <c r="E5" s="37"/>
      <c r="F5" s="38"/>
      <c r="G5" s="36"/>
      <c r="H5" s="36"/>
    </row>
    <row r="6" spans="1:8">
      <c r="A6" s="33">
        <v>2</v>
      </c>
      <c r="B6" s="34"/>
      <c r="C6" s="35"/>
      <c r="D6" s="36"/>
      <c r="E6" s="37"/>
      <c r="F6" s="38"/>
      <c r="G6" s="36"/>
      <c r="H6" s="36"/>
    </row>
    <row r="7" spans="1:8">
      <c r="A7" s="33">
        <v>3</v>
      </c>
      <c r="B7" s="34"/>
      <c r="C7" s="35"/>
      <c r="D7" s="36"/>
      <c r="E7" s="37"/>
      <c r="F7" s="38"/>
      <c r="G7" s="36"/>
      <c r="H7" s="36"/>
    </row>
    <row r="8" spans="1:8">
      <c r="A8" s="33">
        <v>4</v>
      </c>
      <c r="B8" s="34"/>
      <c r="C8" s="35"/>
      <c r="D8" s="36"/>
      <c r="E8" s="37"/>
      <c r="F8" s="38"/>
      <c r="G8" s="36"/>
      <c r="H8" s="36"/>
    </row>
    <row r="9" spans="1:8">
      <c r="A9" s="33">
        <v>5</v>
      </c>
      <c r="B9" s="34"/>
      <c r="C9" s="35"/>
      <c r="D9" s="36"/>
      <c r="E9" s="37"/>
      <c r="F9" s="38"/>
      <c r="G9" s="36"/>
      <c r="H9" s="36"/>
    </row>
    <row r="10" spans="1:8">
      <c r="A10" s="33">
        <v>6</v>
      </c>
      <c r="B10" s="34"/>
      <c r="C10" s="35"/>
      <c r="D10" s="36"/>
      <c r="E10" s="37"/>
      <c r="F10" s="38"/>
      <c r="G10" s="36"/>
      <c r="H10" s="36"/>
    </row>
    <row r="11" spans="1:8">
      <c r="A11" s="33">
        <v>7</v>
      </c>
      <c r="B11" s="34"/>
      <c r="C11" s="35"/>
      <c r="D11" s="36"/>
      <c r="E11" s="37"/>
      <c r="F11" s="38"/>
      <c r="G11" s="36"/>
      <c r="H11" s="36"/>
    </row>
    <row r="12" spans="1:8">
      <c r="A12" s="33">
        <v>8</v>
      </c>
      <c r="B12" s="34"/>
      <c r="C12" s="35"/>
      <c r="D12" s="36"/>
      <c r="E12" s="37"/>
      <c r="F12" s="38"/>
      <c r="G12" s="36"/>
      <c r="H12" s="36"/>
    </row>
    <row r="13" spans="1:8">
      <c r="A13" s="33">
        <v>9</v>
      </c>
      <c r="B13" s="34"/>
      <c r="C13" s="35"/>
      <c r="D13" s="36"/>
      <c r="E13" s="37"/>
      <c r="F13" s="38"/>
      <c r="G13" s="36"/>
      <c r="H13" s="36"/>
    </row>
    <row r="14" spans="1:8">
      <c r="A14" s="33">
        <v>10</v>
      </c>
      <c r="B14" s="34"/>
      <c r="C14" s="35"/>
      <c r="D14" s="36"/>
      <c r="E14" s="37"/>
      <c r="F14" s="38"/>
      <c r="G14" s="36"/>
      <c r="H14" s="36"/>
    </row>
    <row r="16" spans="1:8">
      <c r="A16" s="54" t="s">
        <v>185</v>
      </c>
      <c r="B16" s="46"/>
      <c r="C16" s="46"/>
      <c r="D16" s="46"/>
      <c r="E16" s="46"/>
      <c r="F16" s="46"/>
      <c r="G16" s="46"/>
    </row>
    <row r="17" spans="1:8">
      <c r="A17" s="56" t="s">
        <v>186</v>
      </c>
      <c r="B17" s="57"/>
      <c r="C17" s="57"/>
      <c r="D17" s="57"/>
      <c r="E17" s="57"/>
      <c r="F17" s="57"/>
      <c r="G17" s="58"/>
      <c r="H17" s="39">
        <f>SUMIF(G5:G14,"&gt;0",G5:G14)</f>
        <v>0</v>
      </c>
    </row>
    <row r="18" spans="1:8">
      <c r="A18" s="56" t="s">
        <v>187</v>
      </c>
      <c r="B18" s="57"/>
      <c r="C18" s="57"/>
      <c r="D18" s="57"/>
      <c r="E18" s="57"/>
      <c r="F18" s="57"/>
      <c r="G18" s="58"/>
      <c r="H18" s="39">
        <f>SUMIF(H5:H14,"&gt;0",H5:H14)</f>
        <v>0</v>
      </c>
    </row>
    <row r="19" spans="1:8">
      <c r="A19" s="56" t="s">
        <v>188</v>
      </c>
      <c r="B19" s="57"/>
      <c r="C19" s="57"/>
      <c r="D19" s="57"/>
      <c r="E19" s="57"/>
      <c r="F19" s="57"/>
      <c r="G19" s="58"/>
      <c r="H19" s="40">
        <f>COUNTIF(H5:H14,"&gt;0")</f>
        <v>0</v>
      </c>
    </row>
    <row r="21" spans="1:8" ht="70.05" customHeight="1">
      <c r="A21" s="53" t="s">
        <v>189</v>
      </c>
      <c r="B21" s="46"/>
      <c r="C21" s="46"/>
      <c r="D21" s="46"/>
      <c r="E21" s="46"/>
      <c r="F21" s="46"/>
      <c r="G21" s="46"/>
      <c r="H21" s="46"/>
    </row>
    <row r="22" spans="1:8">
      <c r="A22" s="46"/>
      <c r="B22" s="46"/>
      <c r="C22" s="46"/>
      <c r="D22" s="46"/>
      <c r="E22" s="46"/>
      <c r="F22" s="46"/>
      <c r="G22" s="46"/>
      <c r="H22" s="46"/>
    </row>
    <row r="23" spans="1:8">
      <c r="A23" s="46"/>
      <c r="B23" s="46"/>
      <c r="C23" s="46"/>
      <c r="D23" s="46"/>
      <c r="E23" s="46"/>
      <c r="F23" s="46"/>
      <c r="G23" s="46"/>
      <c r="H23" s="46"/>
    </row>
    <row r="24" spans="1:8">
      <c r="A24" s="46"/>
      <c r="B24" s="46"/>
      <c r="C24" s="46"/>
      <c r="D24" s="46"/>
      <c r="E24" s="46"/>
      <c r="F24" s="46"/>
      <c r="G24" s="46"/>
      <c r="H24" s="46"/>
    </row>
  </sheetData>
  <mergeCells count="7">
    <mergeCell ref="A21:H24"/>
    <mergeCell ref="A16:G16"/>
    <mergeCell ref="A1:H1"/>
    <mergeCell ref="A19:G19"/>
    <mergeCell ref="A17:G17"/>
    <mergeCell ref="A18:G18"/>
    <mergeCell ref="A2:H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C23"/>
  <sheetViews>
    <sheetView workbookViewId="0">
      <selection sqref="A1:C1"/>
    </sheetView>
  </sheetViews>
  <sheetFormatPr defaultRowHeight="14.4"/>
  <cols>
    <col min="1" max="1" width="32" style="30" customWidth="1"/>
    <col min="2" max="2" width="4" style="30" customWidth="1"/>
    <col min="3" max="3" width="20" style="30" customWidth="1"/>
  </cols>
  <sheetData>
    <row r="1" spans="1:3" ht="17.399999999999999" customHeight="1">
      <c r="A1" s="60" t="s">
        <v>190</v>
      </c>
      <c r="B1" s="46"/>
      <c r="C1" s="46"/>
    </row>
    <row r="2" spans="1:3">
      <c r="A2" s="1" t="s">
        <v>191</v>
      </c>
      <c r="B2" t="str">
        <f>TEXT('Control Panel'!$B$3,"DD-MMM-YYYY")&amp;" to "&amp;TEXT('Control Panel'!$C$3,"DD-MMM-YYYY")</f>
        <v>01-Apr-2026 to 31-May-2026</v>
      </c>
    </row>
    <row r="4" spans="1:3">
      <c r="A4" s="51" t="s">
        <v>192</v>
      </c>
      <c r="B4" s="46"/>
      <c r="C4" s="46"/>
    </row>
    <row r="5" spans="1:3">
      <c r="A5" s="13" t="s">
        <v>193</v>
      </c>
      <c r="C5" s="10">
        <f>SUMIFS('Sales Log'!$G$3:$G$2002,'Sales Log'!$B$3:$B$2002,"&lt;&gt;Egg Shop",'Sales Log'!$A$3:$A$2002,"&gt;="&amp;'Control Panel'!$B$3,'Sales Log'!$A$3:$A$2002,"&lt;="&amp;'Control Panel'!$C$3)</f>
        <v>225961</v>
      </c>
    </row>
    <row r="6" spans="1:3">
      <c r="A6" s="13" t="s">
        <v>194</v>
      </c>
      <c r="C6" s="10">
        <f>SUMIFS('Sales Log'!$G$3:$G$2002,'Sales Log'!$B$3:$B$2002,"Egg Shop",'Sales Log'!$A$3:$A$2002,"&gt;="&amp;'Control Panel'!$B$3,'Sales Log'!$A$3:$A$2002,"&lt;="&amp;'Control Panel'!$C$3)</f>
        <v>131080.5</v>
      </c>
    </row>
    <row r="7" spans="1:3">
      <c r="A7" s="1" t="s">
        <v>195</v>
      </c>
      <c r="C7" s="12">
        <f>C5+C6</f>
        <v>357041.5</v>
      </c>
    </row>
    <row r="9" spans="1:3">
      <c r="A9" s="51" t="s">
        <v>196</v>
      </c>
      <c r="B9" s="46"/>
      <c r="C9" s="46"/>
    </row>
    <row r="10" spans="1:3">
      <c r="A10" s="13" t="s">
        <v>197</v>
      </c>
      <c r="C10" s="10">
        <f>SUMIFS('Sales Log'!$H$3:$H$2002,'Sales Log'!$A$3:$A$2002,"&gt;="&amp;'Control Panel'!$B$3,'Sales Log'!$A$3:$A$2002,"&lt;="&amp;'Control Panel'!$C$3)</f>
        <v>350133.5</v>
      </c>
    </row>
    <row r="11" spans="1:3">
      <c r="A11" s="13" t="s">
        <v>198</v>
      </c>
      <c r="C11" s="10">
        <f>SUMIFS('Farm Costs'!$D$3:$D$2002,'Farm Costs'!$A$3:$A$2002,"&gt;="&amp;'Control Panel'!$B$3,'Farm Costs'!$A$3:$A$2002,"&lt;="&amp;'Control Panel'!$C$3)</f>
        <v>27215</v>
      </c>
    </row>
    <row r="12" spans="1:3">
      <c r="A12" s="1" t="s">
        <v>199</v>
      </c>
      <c r="C12" s="12">
        <f>C10+C11</f>
        <v>377348.5</v>
      </c>
    </row>
    <row r="14" spans="1:3" ht="15.6" customHeight="1">
      <c r="A14" s="14" t="s">
        <v>200</v>
      </c>
      <c r="C14" s="15">
        <f>C7-C12</f>
        <v>-20307</v>
      </c>
    </row>
    <row r="16" spans="1:3">
      <c r="A16" s="51" t="s">
        <v>201</v>
      </c>
      <c r="B16" s="46"/>
      <c r="C16" s="46"/>
    </row>
    <row r="17" spans="1:3">
      <c r="A17" s="13" t="s">
        <v>202</v>
      </c>
      <c r="C17" s="10">
        <f>SUMIFS('Shop Expenses'!$D$3:$D$2002,'Shop Expenses'!$C$3:$C$2002,"Rent",'Shop Expenses'!$A$3:$A$2002,"&gt;="&amp;'Control Panel'!$B$3,'Shop Expenses'!$A$3:$A$2002,"&lt;="&amp;'Control Panel'!$C$3)</f>
        <v>640</v>
      </c>
    </row>
    <row r="18" spans="1:3">
      <c r="A18" s="13" t="s">
        <v>203</v>
      </c>
      <c r="C18" s="10">
        <f>SUMIFS('Shop Expenses'!$D$3:$D$2002,'Shop Expenses'!$C$3:$C$2002,"Salary",'Shop Expenses'!$A$3:$A$2002,"&gt;="&amp;'Control Panel'!$B$3,'Shop Expenses'!$A$3:$A$2002,"&lt;="&amp;'Control Panel'!$C$3)</f>
        <v>3100</v>
      </c>
    </row>
    <row r="19" spans="1:3">
      <c r="A19" s="13" t="s">
        <v>204</v>
      </c>
      <c r="C19" s="10">
        <f>SUMIFS('Shop Expenses'!$D$3:$D$2002,'Shop Expenses'!$C$3:$C$2002,"&lt;&gt;Rent",'Shop Expenses'!$A$3:$A$2002,"&gt;="&amp;'Control Panel'!$B$3,'Shop Expenses'!$A$3:$A$2002,"&lt;="&amp;'Control Panel'!$C$3)-SUMIFS('Shop Expenses'!$D$3:$D$2002,'Shop Expenses'!$C$3:$C$2002,"Salary",'Shop Expenses'!$A$3:$A$2002,"&gt;="&amp;'Control Panel'!$B$3,'Shop Expenses'!$A$3:$A$2002,"&lt;="&amp;'Control Panel'!$C$3)-SUMIFS('Shop Expenses'!$D$3:$D$2002,'Shop Expenses'!$C$3:$C$2002,"Loan Repayment",'Shop Expenses'!$A$3:$A$2002,"&gt;="&amp;'Control Panel'!$B$3,'Shop Expenses'!$A$3:$A$2002,"&lt;="&amp;'Control Panel'!$C$3)</f>
        <v>0</v>
      </c>
    </row>
    <row r="20" spans="1:3">
      <c r="A20" s="13" t="s">
        <v>205</v>
      </c>
      <c r="C20" s="10">
        <f>SUMIFS('Shop Expenses'!$D$3:$D$2002,'Shop Expenses'!$C$3:$C$2002,"Loan Repayment",'Shop Expenses'!$A$3:$A$2002,"&gt;="&amp;'Control Panel'!$B$3,'Shop Expenses'!$A$3:$A$2002,"&lt;="&amp;'Control Panel'!$C$3)</f>
        <v>0</v>
      </c>
    </row>
    <row r="21" spans="1:3">
      <c r="A21" s="1" t="s">
        <v>206</v>
      </c>
      <c r="C21" s="12">
        <f>C17+C18+C19+C20</f>
        <v>3740</v>
      </c>
    </row>
    <row r="22" spans="1:3" ht="17.399999999999999" customHeight="1"/>
    <row r="23" spans="1:3" ht="17.399999999999999">
      <c r="A23" s="16" t="s">
        <v>207</v>
      </c>
      <c r="C23" s="17">
        <f>C14-C21</f>
        <v>-24047</v>
      </c>
    </row>
  </sheetData>
  <sheetProtection password="EF81" sheet="1"/>
  <mergeCells count="4">
    <mergeCell ref="A1:C1"/>
    <mergeCell ref="A4:C4"/>
    <mergeCell ref="A9:C9"/>
    <mergeCell ref="A16:C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C25"/>
  <sheetViews>
    <sheetView workbookViewId="0">
      <selection sqref="A1:C1"/>
    </sheetView>
  </sheetViews>
  <sheetFormatPr defaultRowHeight="14.4"/>
  <cols>
    <col min="1" max="1" width="36" style="30" customWidth="1"/>
    <col min="2" max="2" width="4" style="30" customWidth="1"/>
    <col min="3" max="3" width="20" style="30" customWidth="1"/>
  </cols>
  <sheetData>
    <row r="1" spans="1:3" ht="17.399999999999999" customHeight="1">
      <c r="A1" s="60" t="s">
        <v>208</v>
      </c>
      <c r="B1" s="46"/>
      <c r="C1" s="46"/>
    </row>
    <row r="2" spans="1:3">
      <c r="A2" s="1" t="s">
        <v>209</v>
      </c>
      <c r="B2" t="str">
        <f>TEXT('Control Panel'!$C$3,"DD-MMM-YYYY")</f>
        <v>31-May-2026</v>
      </c>
    </row>
    <row r="4" spans="1:3">
      <c r="A4" s="52" t="s">
        <v>210</v>
      </c>
      <c r="B4" s="46"/>
      <c r="C4" s="46"/>
    </row>
    <row r="5" spans="1:3">
      <c r="A5" s="52" t="s">
        <v>211</v>
      </c>
      <c r="B5" s="46"/>
      <c r="C5" s="46"/>
    </row>
    <row r="6" spans="1:3">
      <c r="A6" s="13" t="s">
        <v>212</v>
      </c>
      <c r="C6" s="10">
        <f>'Control Panel'!B7+SUMIFS('Sales Log'!$G$3:$G$2002,'Sales Log'!$A$3:$A$2002,"&gt;="&amp;'Control Panel'!$B$3,'Sales Log'!$A$3:$A$2002,"&lt;="&amp;'Control Panel'!$C$3)-SUMIFS('Shop Expenses'!$D$3:$D$2002,'Shop Expenses'!$A$3:$A$2002,"&gt;="&amp;'Control Panel'!$B$3,'Shop Expenses'!$A$3:$A$2002,"&lt;="&amp;'Control Panel'!$C$3)-SUMIFS('Farm Costs'!$D$3:$D$2002,'Farm Costs'!$A$3:$A$2002,"&gt;="&amp;'Control Panel'!$B$3,'Farm Costs'!$A$3:$A$2002,"&lt;="&amp;'Control Panel'!$C$3)</f>
        <v>327086.5</v>
      </c>
    </row>
    <row r="7" spans="1:3">
      <c r="A7" s="13" t="s">
        <v>213</v>
      </c>
      <c r="C7" s="10">
        <f>SUMIFS(Purchases!$G$3:$G$2002,Purchases!$A$3:$A$2002,"&gt;="&amp;'Control Panel'!$B$3,Purchases!$A$3:$A$2002,"&lt;="&amp;'Control Panel'!$C$3)-SUMIFS('Sales Log'!$H$3:$H$2002,'Sales Log'!$B$3:$B$2002,"&lt;&gt;Egg Shop",'Sales Log'!$A$3:$A$2002,"&gt;="&amp;'Control Panel'!$B$3,'Sales Log'!$A$3:$A$2002,"&lt;="&amp;'Control Panel'!$C$3)</f>
        <v>74847</v>
      </c>
    </row>
    <row r="8" spans="1:3">
      <c r="A8" s="13" t="s">
        <v>214</v>
      </c>
      <c r="C8" s="10">
        <f>'Feed Inventory'!H8</f>
        <v>0</v>
      </c>
    </row>
    <row r="9" spans="1:3">
      <c r="A9" s="1" t="s">
        <v>215</v>
      </c>
      <c r="C9" s="9">
        <f>SUM(C6:C8)</f>
        <v>401933.5</v>
      </c>
    </row>
    <row r="11" spans="1:3">
      <c r="A11" s="52" t="s">
        <v>216</v>
      </c>
      <c r="B11" s="46"/>
      <c r="C11" s="46"/>
    </row>
    <row r="12" spans="1:3">
      <c r="A12" s="13" t="s">
        <v>217</v>
      </c>
      <c r="C12" s="10">
        <f>0</f>
        <v>0</v>
      </c>
    </row>
    <row r="13" spans="1:3">
      <c r="A13" s="13" t="s">
        <v>218</v>
      </c>
      <c r="C13" s="10">
        <f>0</f>
        <v>0</v>
      </c>
    </row>
    <row r="14" spans="1:3">
      <c r="A14" s="13" t="s">
        <v>219</v>
      </c>
      <c r="C14" s="10">
        <f>IF(ISREF(Loans!H19),Loans!H19,0)</f>
        <v>0</v>
      </c>
    </row>
    <row r="15" spans="1:3">
      <c r="A15" s="1" t="s">
        <v>220</v>
      </c>
      <c r="C15" s="9">
        <f>C12+C13+C14</f>
        <v>0</v>
      </c>
    </row>
    <row r="16" spans="1:3">
      <c r="A16" s="46"/>
      <c r="B16" s="46"/>
      <c r="C16" s="46"/>
    </row>
    <row r="17" spans="1:3">
      <c r="A17" s="31" t="s">
        <v>221</v>
      </c>
    </row>
    <row r="18" spans="1:3">
      <c r="A18" s="13" t="s">
        <v>222</v>
      </c>
      <c r="C18" s="10">
        <f>'Control Panel'!B7</f>
        <v>1000</v>
      </c>
    </row>
    <row r="19" spans="1:3">
      <c r="A19" s="13" t="s">
        <v>223</v>
      </c>
      <c r="C19" s="10">
        <f>SUMIFS('Sales Log'!$G$3:$G$2002,'Sales Log'!$A$3:$A$2002,"&gt;="&amp;'Control Panel'!$B$3,'Sales Log'!$A$3:$A$2002,"&lt;="&amp;'Control Panel'!$C$3)-SUMIFS('Sales Log'!$H$3:$H$2002,'Sales Log'!$A$3:$A$2002,"&gt;="&amp;'Control Panel'!$B$3,'Sales Log'!$A$3:$A$2002,"&lt;="&amp;'Control Panel'!$C$3)-SUMIFS('Shop Expenses'!$D$3:$D$2002,'Shop Expenses'!$A$3:$A$2002,"&gt;="&amp;'Control Panel'!$B$3,'Shop Expenses'!$A$3:$A$2002,"&lt;="&amp;'Control Panel'!$C$3)-SUMIFS('Farm Costs'!$D$3:$D$2002,'Farm Costs'!$A$3:$A$2002,"&gt;="&amp;'Control Panel'!$B$3,'Farm Costs'!$A$3:$A$2002,"&lt;="&amp;'Control Panel'!$C$3)</f>
        <v>-24047</v>
      </c>
    </row>
    <row r="20" spans="1:3">
      <c r="A20" s="1" t="s">
        <v>224</v>
      </c>
      <c r="C20" s="9">
        <f>C18+C19</f>
        <v>-23047</v>
      </c>
    </row>
    <row r="21" spans="1:3">
      <c r="A21" s="46"/>
      <c r="B21" s="46"/>
      <c r="C21" s="46"/>
    </row>
    <row r="22" spans="1:3">
      <c r="A22" s="31" t="s">
        <v>225</v>
      </c>
    </row>
    <row r="23" spans="1:3">
      <c r="A23" s="1" t="s">
        <v>226</v>
      </c>
      <c r="C23" s="10">
        <f>C9</f>
        <v>401933.5</v>
      </c>
    </row>
    <row r="24" spans="1:3">
      <c r="A24" s="1" t="s">
        <v>227</v>
      </c>
      <c r="C24" s="10">
        <f>C15+C20</f>
        <v>-23047</v>
      </c>
    </row>
    <row r="25" spans="1:3">
      <c r="A25" s="18" t="s">
        <v>228</v>
      </c>
      <c r="C25" s="19">
        <f>C23-C24</f>
        <v>424980.5</v>
      </c>
    </row>
  </sheetData>
  <sheetProtection password="EF81" sheet="1"/>
  <mergeCells count="6">
    <mergeCell ref="A11:C11"/>
    <mergeCell ref="A1:C1"/>
    <mergeCell ref="A5:C5"/>
    <mergeCell ref="A21:C21"/>
    <mergeCell ref="A4:C4"/>
    <mergeCell ref="A16:C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F367"/>
  <sheetViews>
    <sheetView workbookViewId="0">
      <selection activeCell="A3" sqref="A3"/>
    </sheetView>
  </sheetViews>
  <sheetFormatPr defaultRowHeight="14.4"/>
  <cols>
    <col min="1" max="1" width="14" style="30" customWidth="1"/>
    <col min="2" max="2" width="16" style="30" customWidth="1"/>
    <col min="3" max="4" width="14" style="30" customWidth="1"/>
    <col min="5" max="5" width="12" style="30" customWidth="1"/>
    <col min="6" max="6" width="18" style="30" customWidth="1"/>
  </cols>
  <sheetData>
    <row r="1" spans="1:6" ht="15.6" customHeight="1">
      <c r="A1" s="49" t="s">
        <v>229</v>
      </c>
      <c r="B1" s="46"/>
      <c r="C1" s="46"/>
      <c r="D1" s="46"/>
      <c r="E1" s="46"/>
      <c r="F1" s="46"/>
    </row>
    <row r="2" spans="1:6">
      <c r="A2" s="20" t="s">
        <v>96</v>
      </c>
      <c r="B2" s="4" t="s">
        <v>12</v>
      </c>
      <c r="C2" s="4" t="s">
        <v>16</v>
      </c>
      <c r="D2" s="4" t="s">
        <v>20</v>
      </c>
      <c r="E2" s="4" t="s">
        <v>24</v>
      </c>
      <c r="F2" s="4" t="s">
        <v>113</v>
      </c>
    </row>
    <row r="3" spans="1:6">
      <c r="B3" t="str">
        <f>IF(OR($A3="",B$2=""),"",SUMIFS('Sales Log'!$G$3:$G$2002,'Sales Log'!$A$3:$A$2002,$A3,'Sales Log'!$B$3:$B$2002,B$2))</f>
        <v/>
      </c>
      <c r="C3" t="str">
        <f>IF(OR($A3="",C$2=""),"",SUMIFS('Sales Log'!$G$3:$G$2002,'Sales Log'!$A$3:$A$2002,$A3,'Sales Log'!$B$3:$B$2002,C$2))</f>
        <v/>
      </c>
      <c r="D3" t="str">
        <f>IF(OR($A3="",D$2=""),"",SUMIFS('Sales Log'!$G$3:$G$2002,'Sales Log'!$A$3:$A$2002,$A3,'Sales Log'!$B$3:$B$2002,D$2))</f>
        <v/>
      </c>
      <c r="E3" t="str">
        <f>IF(OR($A3="",E$2=""),"",SUMIFS('Sales Log'!$G$3:$G$2002,'Sales Log'!$A$3:$A$2002,$A3,'Sales Log'!$B$3:$B$2002,E$2))</f>
        <v/>
      </c>
      <c r="F3" t="str">
        <f t="shared" ref="F3:F66" si="0">IF(A3="","",SUM(B3:E3))</f>
        <v/>
      </c>
    </row>
    <row r="4" spans="1:6">
      <c r="B4" t="str">
        <f>IF(OR($A4="",B$2=""),"",SUMIFS('Sales Log'!$G$3:$G$2002,'Sales Log'!$A$3:$A$2002,$A4,'Sales Log'!$B$3:$B$2002,B$2))</f>
        <v/>
      </c>
      <c r="C4" t="str">
        <f>IF(OR($A4="",C$2=""),"",SUMIFS('Sales Log'!$G$3:$G$2002,'Sales Log'!$A$3:$A$2002,$A4,'Sales Log'!$B$3:$B$2002,C$2))</f>
        <v/>
      </c>
      <c r="D4" t="str">
        <f>IF(OR($A4="",D$2=""),"",SUMIFS('Sales Log'!$G$3:$G$2002,'Sales Log'!$A$3:$A$2002,$A4,'Sales Log'!$B$3:$B$2002,D$2))</f>
        <v/>
      </c>
      <c r="E4" t="str">
        <f>IF(OR($A4="",E$2=""),"",SUMIFS('Sales Log'!$G$3:$G$2002,'Sales Log'!$A$3:$A$2002,$A4,'Sales Log'!$B$3:$B$2002,E$2))</f>
        <v/>
      </c>
      <c r="F4" t="str">
        <f t="shared" si="0"/>
        <v/>
      </c>
    </row>
    <row r="5" spans="1:6">
      <c r="B5" t="str">
        <f>IF(OR($A5="",B$2=""),"",SUMIFS('Sales Log'!$G$3:$G$2002,'Sales Log'!$A$3:$A$2002,$A5,'Sales Log'!$B$3:$B$2002,B$2))</f>
        <v/>
      </c>
      <c r="C5" t="str">
        <f>IF(OR($A5="",C$2=""),"",SUMIFS('Sales Log'!$G$3:$G$2002,'Sales Log'!$A$3:$A$2002,$A5,'Sales Log'!$B$3:$B$2002,C$2))</f>
        <v/>
      </c>
      <c r="D5" t="str">
        <f>IF(OR($A5="",D$2=""),"",SUMIFS('Sales Log'!$G$3:$G$2002,'Sales Log'!$A$3:$A$2002,$A5,'Sales Log'!$B$3:$B$2002,D$2))</f>
        <v/>
      </c>
      <c r="E5" t="str">
        <f>IF(OR($A5="",E$2=""),"",SUMIFS('Sales Log'!$G$3:$G$2002,'Sales Log'!$A$3:$A$2002,$A5,'Sales Log'!$B$3:$B$2002,E$2))</f>
        <v/>
      </c>
      <c r="F5" t="str">
        <f t="shared" si="0"/>
        <v/>
      </c>
    </row>
    <row r="6" spans="1:6">
      <c r="B6" t="str">
        <f>IF(OR($A6="",B$2=""),"",SUMIFS('Sales Log'!$G$3:$G$2002,'Sales Log'!$A$3:$A$2002,$A6,'Sales Log'!$B$3:$B$2002,B$2))</f>
        <v/>
      </c>
      <c r="C6" t="str">
        <f>IF(OR($A6="",C$2=""),"",SUMIFS('Sales Log'!$G$3:$G$2002,'Sales Log'!$A$3:$A$2002,$A6,'Sales Log'!$B$3:$B$2002,C$2))</f>
        <v/>
      </c>
      <c r="D6" t="str">
        <f>IF(OR($A6="",D$2=""),"",SUMIFS('Sales Log'!$G$3:$G$2002,'Sales Log'!$A$3:$A$2002,$A6,'Sales Log'!$B$3:$B$2002,D$2))</f>
        <v/>
      </c>
      <c r="E6" t="str">
        <f>IF(OR($A6="",E$2=""),"",SUMIFS('Sales Log'!$G$3:$G$2002,'Sales Log'!$A$3:$A$2002,$A6,'Sales Log'!$B$3:$B$2002,E$2))</f>
        <v/>
      </c>
      <c r="F6" t="str">
        <f t="shared" si="0"/>
        <v/>
      </c>
    </row>
    <row r="7" spans="1:6">
      <c r="B7" t="str">
        <f>IF(OR($A7="",B$2=""),"",SUMIFS('Sales Log'!$G$3:$G$2002,'Sales Log'!$A$3:$A$2002,$A7,'Sales Log'!$B$3:$B$2002,B$2))</f>
        <v/>
      </c>
      <c r="C7" t="str">
        <f>IF(OR($A7="",C$2=""),"",SUMIFS('Sales Log'!$G$3:$G$2002,'Sales Log'!$A$3:$A$2002,$A7,'Sales Log'!$B$3:$B$2002,C$2))</f>
        <v/>
      </c>
      <c r="D7" t="str">
        <f>IF(OR($A7="",D$2=""),"",SUMIFS('Sales Log'!$G$3:$G$2002,'Sales Log'!$A$3:$A$2002,$A7,'Sales Log'!$B$3:$B$2002,D$2))</f>
        <v/>
      </c>
      <c r="E7" t="str">
        <f>IF(OR($A7="",E$2=""),"",SUMIFS('Sales Log'!$G$3:$G$2002,'Sales Log'!$A$3:$A$2002,$A7,'Sales Log'!$B$3:$B$2002,E$2))</f>
        <v/>
      </c>
      <c r="F7" t="str">
        <f t="shared" si="0"/>
        <v/>
      </c>
    </row>
    <row r="8" spans="1:6">
      <c r="B8" t="str">
        <f>IF(OR($A8="",B$2=""),"",SUMIFS('Sales Log'!$G$3:$G$2002,'Sales Log'!$A$3:$A$2002,$A8,'Sales Log'!$B$3:$B$2002,B$2))</f>
        <v/>
      </c>
      <c r="C8" t="str">
        <f>IF(OR($A8="",C$2=""),"",SUMIFS('Sales Log'!$G$3:$G$2002,'Sales Log'!$A$3:$A$2002,$A8,'Sales Log'!$B$3:$B$2002,C$2))</f>
        <v/>
      </c>
      <c r="D8" t="str">
        <f>IF(OR($A8="",D$2=""),"",SUMIFS('Sales Log'!$G$3:$G$2002,'Sales Log'!$A$3:$A$2002,$A8,'Sales Log'!$B$3:$B$2002,D$2))</f>
        <v/>
      </c>
      <c r="E8" t="str">
        <f>IF(OR($A8="",E$2=""),"",SUMIFS('Sales Log'!$G$3:$G$2002,'Sales Log'!$A$3:$A$2002,$A8,'Sales Log'!$B$3:$B$2002,E$2))</f>
        <v/>
      </c>
      <c r="F8" t="str">
        <f t="shared" si="0"/>
        <v/>
      </c>
    </row>
    <row r="9" spans="1:6">
      <c r="B9" t="str">
        <f>IF(OR($A9="",B$2=""),"",SUMIFS('Sales Log'!$G$3:$G$2002,'Sales Log'!$A$3:$A$2002,$A9,'Sales Log'!$B$3:$B$2002,B$2))</f>
        <v/>
      </c>
      <c r="C9" t="str">
        <f>IF(OR($A9="",C$2=""),"",SUMIFS('Sales Log'!$G$3:$G$2002,'Sales Log'!$A$3:$A$2002,$A9,'Sales Log'!$B$3:$B$2002,C$2))</f>
        <v/>
      </c>
      <c r="D9" t="str">
        <f>IF(OR($A9="",D$2=""),"",SUMIFS('Sales Log'!$G$3:$G$2002,'Sales Log'!$A$3:$A$2002,$A9,'Sales Log'!$B$3:$B$2002,D$2))</f>
        <v/>
      </c>
      <c r="E9" t="str">
        <f>IF(OR($A9="",E$2=""),"",SUMIFS('Sales Log'!$G$3:$G$2002,'Sales Log'!$A$3:$A$2002,$A9,'Sales Log'!$B$3:$B$2002,E$2))</f>
        <v/>
      </c>
      <c r="F9" t="str">
        <f t="shared" si="0"/>
        <v/>
      </c>
    </row>
    <row r="10" spans="1:6">
      <c r="B10" t="str">
        <f>IF(OR($A10="",B$2=""),"",SUMIFS('Sales Log'!$G$3:$G$2002,'Sales Log'!$A$3:$A$2002,$A10,'Sales Log'!$B$3:$B$2002,B$2))</f>
        <v/>
      </c>
      <c r="C10" t="str">
        <f>IF(OR($A10="",C$2=""),"",SUMIFS('Sales Log'!$G$3:$G$2002,'Sales Log'!$A$3:$A$2002,$A10,'Sales Log'!$B$3:$B$2002,C$2))</f>
        <v/>
      </c>
      <c r="D10" t="str">
        <f>IF(OR($A10="",D$2=""),"",SUMIFS('Sales Log'!$G$3:$G$2002,'Sales Log'!$A$3:$A$2002,$A10,'Sales Log'!$B$3:$B$2002,D$2))</f>
        <v/>
      </c>
      <c r="E10" t="str">
        <f>IF(OR($A10="",E$2=""),"",SUMIFS('Sales Log'!$G$3:$G$2002,'Sales Log'!$A$3:$A$2002,$A10,'Sales Log'!$B$3:$B$2002,E$2))</f>
        <v/>
      </c>
      <c r="F10" t="str">
        <f t="shared" si="0"/>
        <v/>
      </c>
    </row>
    <row r="11" spans="1:6">
      <c r="B11" t="str">
        <f>IF(OR($A11="",B$2=""),"",SUMIFS('Sales Log'!$G$3:$G$2002,'Sales Log'!$A$3:$A$2002,$A11,'Sales Log'!$B$3:$B$2002,B$2))</f>
        <v/>
      </c>
      <c r="C11" t="str">
        <f>IF(OR($A11="",C$2=""),"",SUMIFS('Sales Log'!$G$3:$G$2002,'Sales Log'!$A$3:$A$2002,$A11,'Sales Log'!$B$3:$B$2002,C$2))</f>
        <v/>
      </c>
      <c r="D11" t="str">
        <f>IF(OR($A11="",D$2=""),"",SUMIFS('Sales Log'!$G$3:$G$2002,'Sales Log'!$A$3:$A$2002,$A11,'Sales Log'!$B$3:$B$2002,D$2))</f>
        <v/>
      </c>
      <c r="E11" t="str">
        <f>IF(OR($A11="",E$2=""),"",SUMIFS('Sales Log'!$G$3:$G$2002,'Sales Log'!$A$3:$A$2002,$A11,'Sales Log'!$B$3:$B$2002,E$2))</f>
        <v/>
      </c>
      <c r="F11" t="str">
        <f t="shared" si="0"/>
        <v/>
      </c>
    </row>
    <row r="12" spans="1:6">
      <c r="B12" t="str">
        <f>IF(OR($A12="",B$2=""),"",SUMIFS('Sales Log'!$G$3:$G$2002,'Sales Log'!$A$3:$A$2002,$A12,'Sales Log'!$B$3:$B$2002,B$2))</f>
        <v/>
      </c>
      <c r="C12" t="str">
        <f>IF(OR($A12="",C$2=""),"",SUMIFS('Sales Log'!$G$3:$G$2002,'Sales Log'!$A$3:$A$2002,$A12,'Sales Log'!$B$3:$B$2002,C$2))</f>
        <v/>
      </c>
      <c r="D12" t="str">
        <f>IF(OR($A12="",D$2=""),"",SUMIFS('Sales Log'!$G$3:$G$2002,'Sales Log'!$A$3:$A$2002,$A12,'Sales Log'!$B$3:$B$2002,D$2))</f>
        <v/>
      </c>
      <c r="E12" t="str">
        <f>IF(OR($A12="",E$2=""),"",SUMIFS('Sales Log'!$G$3:$G$2002,'Sales Log'!$A$3:$A$2002,$A12,'Sales Log'!$B$3:$B$2002,E$2))</f>
        <v/>
      </c>
      <c r="F12" t="str">
        <f t="shared" si="0"/>
        <v/>
      </c>
    </row>
    <row r="13" spans="1:6">
      <c r="B13" t="str">
        <f>IF(OR($A13="",B$2=""),"",SUMIFS('Sales Log'!$G$3:$G$2002,'Sales Log'!$A$3:$A$2002,$A13,'Sales Log'!$B$3:$B$2002,B$2))</f>
        <v/>
      </c>
      <c r="C13" t="str">
        <f>IF(OR($A13="",C$2=""),"",SUMIFS('Sales Log'!$G$3:$G$2002,'Sales Log'!$A$3:$A$2002,$A13,'Sales Log'!$B$3:$B$2002,C$2))</f>
        <v/>
      </c>
      <c r="D13" t="str">
        <f>IF(OR($A13="",D$2=""),"",SUMIFS('Sales Log'!$G$3:$G$2002,'Sales Log'!$A$3:$A$2002,$A13,'Sales Log'!$B$3:$B$2002,D$2))</f>
        <v/>
      </c>
      <c r="E13" t="str">
        <f>IF(OR($A13="",E$2=""),"",SUMIFS('Sales Log'!$G$3:$G$2002,'Sales Log'!$A$3:$A$2002,$A13,'Sales Log'!$B$3:$B$2002,E$2))</f>
        <v/>
      </c>
      <c r="F13" t="str">
        <f t="shared" si="0"/>
        <v/>
      </c>
    </row>
    <row r="14" spans="1:6">
      <c r="B14" t="str">
        <f>IF(OR($A14="",B$2=""),"",SUMIFS('Sales Log'!$G$3:$G$2002,'Sales Log'!$A$3:$A$2002,$A14,'Sales Log'!$B$3:$B$2002,B$2))</f>
        <v/>
      </c>
      <c r="C14" t="str">
        <f>IF(OR($A14="",C$2=""),"",SUMIFS('Sales Log'!$G$3:$G$2002,'Sales Log'!$A$3:$A$2002,$A14,'Sales Log'!$B$3:$B$2002,C$2))</f>
        <v/>
      </c>
      <c r="D14" t="str">
        <f>IF(OR($A14="",D$2=""),"",SUMIFS('Sales Log'!$G$3:$G$2002,'Sales Log'!$A$3:$A$2002,$A14,'Sales Log'!$B$3:$B$2002,D$2))</f>
        <v/>
      </c>
      <c r="E14" t="str">
        <f>IF(OR($A14="",E$2=""),"",SUMIFS('Sales Log'!$G$3:$G$2002,'Sales Log'!$A$3:$A$2002,$A14,'Sales Log'!$B$3:$B$2002,E$2))</f>
        <v/>
      </c>
      <c r="F14" t="str">
        <f t="shared" si="0"/>
        <v/>
      </c>
    </row>
    <row r="15" spans="1:6">
      <c r="B15" t="str">
        <f>IF(OR($A15="",B$2=""),"",SUMIFS('Sales Log'!$G$3:$G$2002,'Sales Log'!$A$3:$A$2002,$A15,'Sales Log'!$B$3:$B$2002,B$2))</f>
        <v/>
      </c>
      <c r="C15" t="str">
        <f>IF(OR($A15="",C$2=""),"",SUMIFS('Sales Log'!$G$3:$G$2002,'Sales Log'!$A$3:$A$2002,$A15,'Sales Log'!$B$3:$B$2002,C$2))</f>
        <v/>
      </c>
      <c r="D15" t="str">
        <f>IF(OR($A15="",D$2=""),"",SUMIFS('Sales Log'!$G$3:$G$2002,'Sales Log'!$A$3:$A$2002,$A15,'Sales Log'!$B$3:$B$2002,D$2))</f>
        <v/>
      </c>
      <c r="E15" t="str">
        <f>IF(OR($A15="",E$2=""),"",SUMIFS('Sales Log'!$G$3:$G$2002,'Sales Log'!$A$3:$A$2002,$A15,'Sales Log'!$B$3:$B$2002,E$2))</f>
        <v/>
      </c>
      <c r="F15" t="str">
        <f t="shared" si="0"/>
        <v/>
      </c>
    </row>
    <row r="16" spans="1:6">
      <c r="B16" t="str">
        <f>IF(OR($A16="",B$2=""),"",SUMIFS('Sales Log'!$G$3:$G$2002,'Sales Log'!$A$3:$A$2002,$A16,'Sales Log'!$B$3:$B$2002,B$2))</f>
        <v/>
      </c>
      <c r="C16" t="str">
        <f>IF(OR($A16="",C$2=""),"",SUMIFS('Sales Log'!$G$3:$G$2002,'Sales Log'!$A$3:$A$2002,$A16,'Sales Log'!$B$3:$B$2002,C$2))</f>
        <v/>
      </c>
      <c r="D16" t="str">
        <f>IF(OR($A16="",D$2=""),"",SUMIFS('Sales Log'!$G$3:$G$2002,'Sales Log'!$A$3:$A$2002,$A16,'Sales Log'!$B$3:$B$2002,D$2))</f>
        <v/>
      </c>
      <c r="E16" t="str">
        <f>IF(OR($A16="",E$2=""),"",SUMIFS('Sales Log'!$G$3:$G$2002,'Sales Log'!$A$3:$A$2002,$A16,'Sales Log'!$B$3:$B$2002,E$2))</f>
        <v/>
      </c>
      <c r="F16" t="str">
        <f t="shared" si="0"/>
        <v/>
      </c>
    </row>
    <row r="17" spans="2:6">
      <c r="B17" t="str">
        <f>IF(OR($A17="",B$2=""),"",SUMIFS('Sales Log'!$G$3:$G$2002,'Sales Log'!$A$3:$A$2002,$A17,'Sales Log'!$B$3:$B$2002,B$2))</f>
        <v/>
      </c>
      <c r="C17" t="str">
        <f>IF(OR($A17="",C$2=""),"",SUMIFS('Sales Log'!$G$3:$G$2002,'Sales Log'!$A$3:$A$2002,$A17,'Sales Log'!$B$3:$B$2002,C$2))</f>
        <v/>
      </c>
      <c r="D17" t="str">
        <f>IF(OR($A17="",D$2=""),"",SUMIFS('Sales Log'!$G$3:$G$2002,'Sales Log'!$A$3:$A$2002,$A17,'Sales Log'!$B$3:$B$2002,D$2))</f>
        <v/>
      </c>
      <c r="E17" t="str">
        <f>IF(OR($A17="",E$2=""),"",SUMIFS('Sales Log'!$G$3:$G$2002,'Sales Log'!$A$3:$A$2002,$A17,'Sales Log'!$B$3:$B$2002,E$2))</f>
        <v/>
      </c>
      <c r="F17" t="str">
        <f t="shared" si="0"/>
        <v/>
      </c>
    </row>
    <row r="18" spans="2:6">
      <c r="B18" t="str">
        <f>IF(OR($A18="",B$2=""),"",SUMIFS('Sales Log'!$G$3:$G$2002,'Sales Log'!$A$3:$A$2002,$A18,'Sales Log'!$B$3:$B$2002,B$2))</f>
        <v/>
      </c>
      <c r="C18" t="str">
        <f>IF(OR($A18="",C$2=""),"",SUMIFS('Sales Log'!$G$3:$G$2002,'Sales Log'!$A$3:$A$2002,$A18,'Sales Log'!$B$3:$B$2002,C$2))</f>
        <v/>
      </c>
      <c r="D18" t="str">
        <f>IF(OR($A18="",D$2=""),"",SUMIFS('Sales Log'!$G$3:$G$2002,'Sales Log'!$A$3:$A$2002,$A18,'Sales Log'!$B$3:$B$2002,D$2))</f>
        <v/>
      </c>
      <c r="E18" t="str">
        <f>IF(OR($A18="",E$2=""),"",SUMIFS('Sales Log'!$G$3:$G$2002,'Sales Log'!$A$3:$A$2002,$A18,'Sales Log'!$B$3:$B$2002,E$2))</f>
        <v/>
      </c>
      <c r="F18" t="str">
        <f t="shared" si="0"/>
        <v/>
      </c>
    </row>
    <row r="19" spans="2:6">
      <c r="B19" t="str">
        <f>IF(OR($A19="",B$2=""),"",SUMIFS('Sales Log'!$G$3:$G$2002,'Sales Log'!$A$3:$A$2002,$A19,'Sales Log'!$B$3:$B$2002,B$2))</f>
        <v/>
      </c>
      <c r="C19" t="str">
        <f>IF(OR($A19="",C$2=""),"",SUMIFS('Sales Log'!$G$3:$G$2002,'Sales Log'!$A$3:$A$2002,$A19,'Sales Log'!$B$3:$B$2002,C$2))</f>
        <v/>
      </c>
      <c r="D19" t="str">
        <f>IF(OR($A19="",D$2=""),"",SUMIFS('Sales Log'!$G$3:$G$2002,'Sales Log'!$A$3:$A$2002,$A19,'Sales Log'!$B$3:$B$2002,D$2))</f>
        <v/>
      </c>
      <c r="E19" t="str">
        <f>IF(OR($A19="",E$2=""),"",SUMIFS('Sales Log'!$G$3:$G$2002,'Sales Log'!$A$3:$A$2002,$A19,'Sales Log'!$B$3:$B$2002,E$2))</f>
        <v/>
      </c>
      <c r="F19" t="str">
        <f t="shared" si="0"/>
        <v/>
      </c>
    </row>
    <row r="20" spans="2:6">
      <c r="B20" t="str">
        <f>IF(OR($A20="",B$2=""),"",SUMIFS('Sales Log'!$G$3:$G$2002,'Sales Log'!$A$3:$A$2002,$A20,'Sales Log'!$B$3:$B$2002,B$2))</f>
        <v/>
      </c>
      <c r="C20" t="str">
        <f>IF(OR($A20="",C$2=""),"",SUMIFS('Sales Log'!$G$3:$G$2002,'Sales Log'!$A$3:$A$2002,$A20,'Sales Log'!$B$3:$B$2002,C$2))</f>
        <v/>
      </c>
      <c r="D20" t="str">
        <f>IF(OR($A20="",D$2=""),"",SUMIFS('Sales Log'!$G$3:$G$2002,'Sales Log'!$A$3:$A$2002,$A20,'Sales Log'!$B$3:$B$2002,D$2))</f>
        <v/>
      </c>
      <c r="E20" t="str">
        <f>IF(OR($A20="",E$2=""),"",SUMIFS('Sales Log'!$G$3:$G$2002,'Sales Log'!$A$3:$A$2002,$A20,'Sales Log'!$B$3:$B$2002,E$2))</f>
        <v/>
      </c>
      <c r="F20" t="str">
        <f t="shared" si="0"/>
        <v/>
      </c>
    </row>
    <row r="21" spans="2:6">
      <c r="B21" t="str">
        <f>IF(OR($A21="",B$2=""),"",SUMIFS('Sales Log'!$G$3:$G$2002,'Sales Log'!$A$3:$A$2002,$A21,'Sales Log'!$B$3:$B$2002,B$2))</f>
        <v/>
      </c>
      <c r="C21" t="str">
        <f>IF(OR($A21="",C$2=""),"",SUMIFS('Sales Log'!$G$3:$G$2002,'Sales Log'!$A$3:$A$2002,$A21,'Sales Log'!$B$3:$B$2002,C$2))</f>
        <v/>
      </c>
      <c r="D21" t="str">
        <f>IF(OR($A21="",D$2=""),"",SUMIFS('Sales Log'!$G$3:$G$2002,'Sales Log'!$A$3:$A$2002,$A21,'Sales Log'!$B$3:$B$2002,D$2))</f>
        <v/>
      </c>
      <c r="E21" t="str">
        <f>IF(OR($A21="",E$2=""),"",SUMIFS('Sales Log'!$G$3:$G$2002,'Sales Log'!$A$3:$A$2002,$A21,'Sales Log'!$B$3:$B$2002,E$2))</f>
        <v/>
      </c>
      <c r="F21" t="str">
        <f t="shared" si="0"/>
        <v/>
      </c>
    </row>
    <row r="22" spans="2:6">
      <c r="B22" t="str">
        <f>IF(OR($A22="",B$2=""),"",SUMIFS('Sales Log'!$G$3:$G$2002,'Sales Log'!$A$3:$A$2002,$A22,'Sales Log'!$B$3:$B$2002,B$2))</f>
        <v/>
      </c>
      <c r="C22" t="str">
        <f>IF(OR($A22="",C$2=""),"",SUMIFS('Sales Log'!$G$3:$G$2002,'Sales Log'!$A$3:$A$2002,$A22,'Sales Log'!$B$3:$B$2002,C$2))</f>
        <v/>
      </c>
      <c r="D22" t="str">
        <f>IF(OR($A22="",D$2=""),"",SUMIFS('Sales Log'!$G$3:$G$2002,'Sales Log'!$A$3:$A$2002,$A22,'Sales Log'!$B$3:$B$2002,D$2))</f>
        <v/>
      </c>
      <c r="E22" t="str">
        <f>IF(OR($A22="",E$2=""),"",SUMIFS('Sales Log'!$G$3:$G$2002,'Sales Log'!$A$3:$A$2002,$A22,'Sales Log'!$B$3:$B$2002,E$2))</f>
        <v/>
      </c>
      <c r="F22" t="str">
        <f t="shared" si="0"/>
        <v/>
      </c>
    </row>
    <row r="23" spans="2:6">
      <c r="B23" t="str">
        <f>IF(OR($A23="",B$2=""),"",SUMIFS('Sales Log'!$G$3:$G$2002,'Sales Log'!$A$3:$A$2002,$A23,'Sales Log'!$B$3:$B$2002,B$2))</f>
        <v/>
      </c>
      <c r="C23" t="str">
        <f>IF(OR($A23="",C$2=""),"",SUMIFS('Sales Log'!$G$3:$G$2002,'Sales Log'!$A$3:$A$2002,$A23,'Sales Log'!$B$3:$B$2002,C$2))</f>
        <v/>
      </c>
      <c r="D23" t="str">
        <f>IF(OR($A23="",D$2=""),"",SUMIFS('Sales Log'!$G$3:$G$2002,'Sales Log'!$A$3:$A$2002,$A23,'Sales Log'!$B$3:$B$2002,D$2))</f>
        <v/>
      </c>
      <c r="E23" t="str">
        <f>IF(OR($A23="",E$2=""),"",SUMIFS('Sales Log'!$G$3:$G$2002,'Sales Log'!$A$3:$A$2002,$A23,'Sales Log'!$B$3:$B$2002,E$2))</f>
        <v/>
      </c>
      <c r="F23" t="str">
        <f t="shared" si="0"/>
        <v/>
      </c>
    </row>
    <row r="24" spans="2:6">
      <c r="B24" t="str">
        <f>IF(OR($A24="",B$2=""),"",SUMIFS('Sales Log'!$G$3:$G$2002,'Sales Log'!$A$3:$A$2002,$A24,'Sales Log'!$B$3:$B$2002,B$2))</f>
        <v/>
      </c>
      <c r="C24" t="str">
        <f>IF(OR($A24="",C$2=""),"",SUMIFS('Sales Log'!$G$3:$G$2002,'Sales Log'!$A$3:$A$2002,$A24,'Sales Log'!$B$3:$B$2002,C$2))</f>
        <v/>
      </c>
      <c r="D24" t="str">
        <f>IF(OR($A24="",D$2=""),"",SUMIFS('Sales Log'!$G$3:$G$2002,'Sales Log'!$A$3:$A$2002,$A24,'Sales Log'!$B$3:$B$2002,D$2))</f>
        <v/>
      </c>
      <c r="E24" t="str">
        <f>IF(OR($A24="",E$2=""),"",SUMIFS('Sales Log'!$G$3:$G$2002,'Sales Log'!$A$3:$A$2002,$A24,'Sales Log'!$B$3:$B$2002,E$2))</f>
        <v/>
      </c>
      <c r="F24" t="str">
        <f t="shared" si="0"/>
        <v/>
      </c>
    </row>
    <row r="25" spans="2:6">
      <c r="B25" t="str">
        <f>IF(OR($A25="",B$2=""),"",SUMIFS('Sales Log'!$G$3:$G$2002,'Sales Log'!$A$3:$A$2002,$A25,'Sales Log'!$B$3:$B$2002,B$2))</f>
        <v/>
      </c>
      <c r="C25" t="str">
        <f>IF(OR($A25="",C$2=""),"",SUMIFS('Sales Log'!$G$3:$G$2002,'Sales Log'!$A$3:$A$2002,$A25,'Sales Log'!$B$3:$B$2002,C$2))</f>
        <v/>
      </c>
      <c r="D25" t="str">
        <f>IF(OR($A25="",D$2=""),"",SUMIFS('Sales Log'!$G$3:$G$2002,'Sales Log'!$A$3:$A$2002,$A25,'Sales Log'!$B$3:$B$2002,D$2))</f>
        <v/>
      </c>
      <c r="E25" t="str">
        <f>IF(OR($A25="",E$2=""),"",SUMIFS('Sales Log'!$G$3:$G$2002,'Sales Log'!$A$3:$A$2002,$A25,'Sales Log'!$B$3:$B$2002,E$2))</f>
        <v/>
      </c>
      <c r="F25" t="str">
        <f t="shared" si="0"/>
        <v/>
      </c>
    </row>
    <row r="26" spans="2:6">
      <c r="B26" t="str">
        <f>IF(OR($A26="",B$2=""),"",SUMIFS('Sales Log'!$G$3:$G$2002,'Sales Log'!$A$3:$A$2002,$A26,'Sales Log'!$B$3:$B$2002,B$2))</f>
        <v/>
      </c>
      <c r="C26" t="str">
        <f>IF(OR($A26="",C$2=""),"",SUMIFS('Sales Log'!$G$3:$G$2002,'Sales Log'!$A$3:$A$2002,$A26,'Sales Log'!$B$3:$B$2002,C$2))</f>
        <v/>
      </c>
      <c r="D26" t="str">
        <f>IF(OR($A26="",D$2=""),"",SUMIFS('Sales Log'!$G$3:$G$2002,'Sales Log'!$A$3:$A$2002,$A26,'Sales Log'!$B$3:$B$2002,D$2))</f>
        <v/>
      </c>
      <c r="E26" t="str">
        <f>IF(OR($A26="",E$2=""),"",SUMIFS('Sales Log'!$G$3:$G$2002,'Sales Log'!$A$3:$A$2002,$A26,'Sales Log'!$B$3:$B$2002,E$2))</f>
        <v/>
      </c>
      <c r="F26" t="str">
        <f t="shared" si="0"/>
        <v/>
      </c>
    </row>
    <row r="27" spans="2:6">
      <c r="B27" t="str">
        <f>IF(OR($A27="",B$2=""),"",SUMIFS('Sales Log'!$G$3:$G$2002,'Sales Log'!$A$3:$A$2002,$A27,'Sales Log'!$B$3:$B$2002,B$2))</f>
        <v/>
      </c>
      <c r="C27" t="str">
        <f>IF(OR($A27="",C$2=""),"",SUMIFS('Sales Log'!$G$3:$G$2002,'Sales Log'!$A$3:$A$2002,$A27,'Sales Log'!$B$3:$B$2002,C$2))</f>
        <v/>
      </c>
      <c r="D27" t="str">
        <f>IF(OR($A27="",D$2=""),"",SUMIFS('Sales Log'!$G$3:$G$2002,'Sales Log'!$A$3:$A$2002,$A27,'Sales Log'!$B$3:$B$2002,D$2))</f>
        <v/>
      </c>
      <c r="E27" t="str">
        <f>IF(OR($A27="",E$2=""),"",SUMIFS('Sales Log'!$G$3:$G$2002,'Sales Log'!$A$3:$A$2002,$A27,'Sales Log'!$B$3:$B$2002,E$2))</f>
        <v/>
      </c>
      <c r="F27" t="str">
        <f t="shared" si="0"/>
        <v/>
      </c>
    </row>
    <row r="28" spans="2:6">
      <c r="B28" t="str">
        <f>IF(OR($A28="",B$2=""),"",SUMIFS('Sales Log'!$G$3:$G$2002,'Sales Log'!$A$3:$A$2002,$A28,'Sales Log'!$B$3:$B$2002,B$2))</f>
        <v/>
      </c>
      <c r="C28" t="str">
        <f>IF(OR($A28="",C$2=""),"",SUMIFS('Sales Log'!$G$3:$G$2002,'Sales Log'!$A$3:$A$2002,$A28,'Sales Log'!$B$3:$B$2002,C$2))</f>
        <v/>
      </c>
      <c r="D28" t="str">
        <f>IF(OR($A28="",D$2=""),"",SUMIFS('Sales Log'!$G$3:$G$2002,'Sales Log'!$A$3:$A$2002,$A28,'Sales Log'!$B$3:$B$2002,D$2))</f>
        <v/>
      </c>
      <c r="E28" t="str">
        <f>IF(OR($A28="",E$2=""),"",SUMIFS('Sales Log'!$G$3:$G$2002,'Sales Log'!$A$3:$A$2002,$A28,'Sales Log'!$B$3:$B$2002,E$2))</f>
        <v/>
      </c>
      <c r="F28" t="str">
        <f t="shared" si="0"/>
        <v/>
      </c>
    </row>
    <row r="29" spans="2:6">
      <c r="B29" t="str">
        <f>IF(OR($A29="",B$2=""),"",SUMIFS('Sales Log'!$G$3:$G$2002,'Sales Log'!$A$3:$A$2002,$A29,'Sales Log'!$B$3:$B$2002,B$2))</f>
        <v/>
      </c>
      <c r="C29" t="str">
        <f>IF(OR($A29="",C$2=""),"",SUMIFS('Sales Log'!$G$3:$G$2002,'Sales Log'!$A$3:$A$2002,$A29,'Sales Log'!$B$3:$B$2002,C$2))</f>
        <v/>
      </c>
      <c r="D29" t="str">
        <f>IF(OR($A29="",D$2=""),"",SUMIFS('Sales Log'!$G$3:$G$2002,'Sales Log'!$A$3:$A$2002,$A29,'Sales Log'!$B$3:$B$2002,D$2))</f>
        <v/>
      </c>
      <c r="E29" t="str">
        <f>IF(OR($A29="",E$2=""),"",SUMIFS('Sales Log'!$G$3:$G$2002,'Sales Log'!$A$3:$A$2002,$A29,'Sales Log'!$B$3:$B$2002,E$2))</f>
        <v/>
      </c>
      <c r="F29" t="str">
        <f t="shared" si="0"/>
        <v/>
      </c>
    </row>
    <row r="30" spans="2:6">
      <c r="B30" t="str">
        <f>IF(OR($A30="",B$2=""),"",SUMIFS('Sales Log'!$G$3:$G$2002,'Sales Log'!$A$3:$A$2002,$A30,'Sales Log'!$B$3:$B$2002,B$2))</f>
        <v/>
      </c>
      <c r="C30" t="str">
        <f>IF(OR($A30="",C$2=""),"",SUMIFS('Sales Log'!$G$3:$G$2002,'Sales Log'!$A$3:$A$2002,$A30,'Sales Log'!$B$3:$B$2002,C$2))</f>
        <v/>
      </c>
      <c r="D30" t="str">
        <f>IF(OR($A30="",D$2=""),"",SUMIFS('Sales Log'!$G$3:$G$2002,'Sales Log'!$A$3:$A$2002,$A30,'Sales Log'!$B$3:$B$2002,D$2))</f>
        <v/>
      </c>
      <c r="E30" t="str">
        <f>IF(OR($A30="",E$2=""),"",SUMIFS('Sales Log'!$G$3:$G$2002,'Sales Log'!$A$3:$A$2002,$A30,'Sales Log'!$B$3:$B$2002,E$2))</f>
        <v/>
      </c>
      <c r="F30" t="str">
        <f t="shared" si="0"/>
        <v/>
      </c>
    </row>
    <row r="31" spans="2:6">
      <c r="B31" t="str">
        <f>IF(OR($A31="",B$2=""),"",SUMIFS('Sales Log'!$G$3:$G$2002,'Sales Log'!$A$3:$A$2002,$A31,'Sales Log'!$B$3:$B$2002,B$2))</f>
        <v/>
      </c>
      <c r="C31" t="str">
        <f>IF(OR($A31="",C$2=""),"",SUMIFS('Sales Log'!$G$3:$G$2002,'Sales Log'!$A$3:$A$2002,$A31,'Sales Log'!$B$3:$B$2002,C$2))</f>
        <v/>
      </c>
      <c r="D31" t="str">
        <f>IF(OR($A31="",D$2=""),"",SUMIFS('Sales Log'!$G$3:$G$2002,'Sales Log'!$A$3:$A$2002,$A31,'Sales Log'!$B$3:$B$2002,D$2))</f>
        <v/>
      </c>
      <c r="E31" t="str">
        <f>IF(OR($A31="",E$2=""),"",SUMIFS('Sales Log'!$G$3:$G$2002,'Sales Log'!$A$3:$A$2002,$A31,'Sales Log'!$B$3:$B$2002,E$2))</f>
        <v/>
      </c>
      <c r="F31" t="str">
        <f t="shared" si="0"/>
        <v/>
      </c>
    </row>
    <row r="32" spans="2:6">
      <c r="B32" t="str">
        <f>IF(OR($A32="",B$2=""),"",SUMIFS('Sales Log'!$G$3:$G$2002,'Sales Log'!$A$3:$A$2002,$A32,'Sales Log'!$B$3:$B$2002,B$2))</f>
        <v/>
      </c>
      <c r="C32" t="str">
        <f>IF(OR($A32="",C$2=""),"",SUMIFS('Sales Log'!$G$3:$G$2002,'Sales Log'!$A$3:$A$2002,$A32,'Sales Log'!$B$3:$B$2002,C$2))</f>
        <v/>
      </c>
      <c r="D32" t="str">
        <f>IF(OR($A32="",D$2=""),"",SUMIFS('Sales Log'!$G$3:$G$2002,'Sales Log'!$A$3:$A$2002,$A32,'Sales Log'!$B$3:$B$2002,D$2))</f>
        <v/>
      </c>
      <c r="E32" t="str">
        <f>IF(OR($A32="",E$2=""),"",SUMIFS('Sales Log'!$G$3:$G$2002,'Sales Log'!$A$3:$A$2002,$A32,'Sales Log'!$B$3:$B$2002,E$2))</f>
        <v/>
      </c>
      <c r="F32" t="str">
        <f t="shared" si="0"/>
        <v/>
      </c>
    </row>
    <row r="33" spans="2:6">
      <c r="B33" t="str">
        <f>IF(OR($A33="",B$2=""),"",SUMIFS('Sales Log'!$G$3:$G$2002,'Sales Log'!$A$3:$A$2002,$A33,'Sales Log'!$B$3:$B$2002,B$2))</f>
        <v/>
      </c>
      <c r="C33" t="str">
        <f>IF(OR($A33="",C$2=""),"",SUMIFS('Sales Log'!$G$3:$G$2002,'Sales Log'!$A$3:$A$2002,$A33,'Sales Log'!$B$3:$B$2002,C$2))</f>
        <v/>
      </c>
      <c r="D33" t="str">
        <f>IF(OR($A33="",D$2=""),"",SUMIFS('Sales Log'!$G$3:$G$2002,'Sales Log'!$A$3:$A$2002,$A33,'Sales Log'!$B$3:$B$2002,D$2))</f>
        <v/>
      </c>
      <c r="E33" t="str">
        <f>IF(OR($A33="",E$2=""),"",SUMIFS('Sales Log'!$G$3:$G$2002,'Sales Log'!$A$3:$A$2002,$A33,'Sales Log'!$B$3:$B$2002,E$2))</f>
        <v/>
      </c>
      <c r="F33" t="str">
        <f t="shared" si="0"/>
        <v/>
      </c>
    </row>
    <row r="34" spans="2:6">
      <c r="B34" t="str">
        <f>IF(OR($A34="",B$2=""),"",SUMIFS('Sales Log'!$G$3:$G$2002,'Sales Log'!$A$3:$A$2002,$A34,'Sales Log'!$B$3:$B$2002,B$2))</f>
        <v/>
      </c>
      <c r="C34" t="str">
        <f>IF(OR($A34="",C$2=""),"",SUMIFS('Sales Log'!$G$3:$G$2002,'Sales Log'!$A$3:$A$2002,$A34,'Sales Log'!$B$3:$B$2002,C$2))</f>
        <v/>
      </c>
      <c r="D34" t="str">
        <f>IF(OR($A34="",D$2=""),"",SUMIFS('Sales Log'!$G$3:$G$2002,'Sales Log'!$A$3:$A$2002,$A34,'Sales Log'!$B$3:$B$2002,D$2))</f>
        <v/>
      </c>
      <c r="E34" t="str">
        <f>IF(OR($A34="",E$2=""),"",SUMIFS('Sales Log'!$G$3:$G$2002,'Sales Log'!$A$3:$A$2002,$A34,'Sales Log'!$B$3:$B$2002,E$2))</f>
        <v/>
      </c>
      <c r="F34" t="str">
        <f t="shared" si="0"/>
        <v/>
      </c>
    </row>
    <row r="35" spans="2:6">
      <c r="B35" t="str">
        <f>IF(OR($A35="",B$2=""),"",SUMIFS('Sales Log'!$G$3:$G$2002,'Sales Log'!$A$3:$A$2002,$A35,'Sales Log'!$B$3:$B$2002,B$2))</f>
        <v/>
      </c>
      <c r="C35" t="str">
        <f>IF(OR($A35="",C$2=""),"",SUMIFS('Sales Log'!$G$3:$G$2002,'Sales Log'!$A$3:$A$2002,$A35,'Sales Log'!$B$3:$B$2002,C$2))</f>
        <v/>
      </c>
      <c r="D35" t="str">
        <f>IF(OR($A35="",D$2=""),"",SUMIFS('Sales Log'!$G$3:$G$2002,'Sales Log'!$A$3:$A$2002,$A35,'Sales Log'!$B$3:$B$2002,D$2))</f>
        <v/>
      </c>
      <c r="E35" t="str">
        <f>IF(OR($A35="",E$2=""),"",SUMIFS('Sales Log'!$G$3:$G$2002,'Sales Log'!$A$3:$A$2002,$A35,'Sales Log'!$B$3:$B$2002,E$2))</f>
        <v/>
      </c>
      <c r="F35" t="str">
        <f t="shared" si="0"/>
        <v/>
      </c>
    </row>
    <row r="36" spans="2:6">
      <c r="B36" t="str">
        <f>IF(OR($A36="",B$2=""),"",SUMIFS('Sales Log'!$G$3:$G$2002,'Sales Log'!$A$3:$A$2002,$A36,'Sales Log'!$B$3:$B$2002,B$2))</f>
        <v/>
      </c>
      <c r="C36" t="str">
        <f>IF(OR($A36="",C$2=""),"",SUMIFS('Sales Log'!$G$3:$G$2002,'Sales Log'!$A$3:$A$2002,$A36,'Sales Log'!$B$3:$B$2002,C$2))</f>
        <v/>
      </c>
      <c r="D36" t="str">
        <f>IF(OR($A36="",D$2=""),"",SUMIFS('Sales Log'!$G$3:$G$2002,'Sales Log'!$A$3:$A$2002,$A36,'Sales Log'!$B$3:$B$2002,D$2))</f>
        <v/>
      </c>
      <c r="E36" t="str">
        <f>IF(OR($A36="",E$2=""),"",SUMIFS('Sales Log'!$G$3:$G$2002,'Sales Log'!$A$3:$A$2002,$A36,'Sales Log'!$B$3:$B$2002,E$2))</f>
        <v/>
      </c>
      <c r="F36" t="str">
        <f t="shared" si="0"/>
        <v/>
      </c>
    </row>
    <row r="37" spans="2:6">
      <c r="B37" t="str">
        <f>IF(OR($A37="",B$2=""),"",SUMIFS('Sales Log'!$G$3:$G$2002,'Sales Log'!$A$3:$A$2002,$A37,'Sales Log'!$B$3:$B$2002,B$2))</f>
        <v/>
      </c>
      <c r="C37" t="str">
        <f>IF(OR($A37="",C$2=""),"",SUMIFS('Sales Log'!$G$3:$G$2002,'Sales Log'!$A$3:$A$2002,$A37,'Sales Log'!$B$3:$B$2002,C$2))</f>
        <v/>
      </c>
      <c r="D37" t="str">
        <f>IF(OR($A37="",D$2=""),"",SUMIFS('Sales Log'!$G$3:$G$2002,'Sales Log'!$A$3:$A$2002,$A37,'Sales Log'!$B$3:$B$2002,D$2))</f>
        <v/>
      </c>
      <c r="E37" t="str">
        <f>IF(OR($A37="",E$2=""),"",SUMIFS('Sales Log'!$G$3:$G$2002,'Sales Log'!$A$3:$A$2002,$A37,'Sales Log'!$B$3:$B$2002,E$2))</f>
        <v/>
      </c>
      <c r="F37" t="str">
        <f t="shared" si="0"/>
        <v/>
      </c>
    </row>
    <row r="38" spans="2:6">
      <c r="B38" t="str">
        <f>IF(OR($A38="",B$2=""),"",SUMIFS('Sales Log'!$G$3:$G$2002,'Sales Log'!$A$3:$A$2002,$A38,'Sales Log'!$B$3:$B$2002,B$2))</f>
        <v/>
      </c>
      <c r="C38" t="str">
        <f>IF(OR($A38="",C$2=""),"",SUMIFS('Sales Log'!$G$3:$G$2002,'Sales Log'!$A$3:$A$2002,$A38,'Sales Log'!$B$3:$B$2002,C$2))</f>
        <v/>
      </c>
      <c r="D38" t="str">
        <f>IF(OR($A38="",D$2=""),"",SUMIFS('Sales Log'!$G$3:$G$2002,'Sales Log'!$A$3:$A$2002,$A38,'Sales Log'!$B$3:$B$2002,D$2))</f>
        <v/>
      </c>
      <c r="E38" t="str">
        <f>IF(OR($A38="",E$2=""),"",SUMIFS('Sales Log'!$G$3:$G$2002,'Sales Log'!$A$3:$A$2002,$A38,'Sales Log'!$B$3:$B$2002,E$2))</f>
        <v/>
      </c>
      <c r="F38" t="str">
        <f t="shared" si="0"/>
        <v/>
      </c>
    </row>
    <row r="39" spans="2:6">
      <c r="B39" t="str">
        <f>IF(OR($A39="",B$2=""),"",SUMIFS('Sales Log'!$G$3:$G$2002,'Sales Log'!$A$3:$A$2002,$A39,'Sales Log'!$B$3:$B$2002,B$2))</f>
        <v/>
      </c>
      <c r="C39" t="str">
        <f>IF(OR($A39="",C$2=""),"",SUMIFS('Sales Log'!$G$3:$G$2002,'Sales Log'!$A$3:$A$2002,$A39,'Sales Log'!$B$3:$B$2002,C$2))</f>
        <v/>
      </c>
      <c r="D39" t="str">
        <f>IF(OR($A39="",D$2=""),"",SUMIFS('Sales Log'!$G$3:$G$2002,'Sales Log'!$A$3:$A$2002,$A39,'Sales Log'!$B$3:$B$2002,D$2))</f>
        <v/>
      </c>
      <c r="E39" t="str">
        <f>IF(OR($A39="",E$2=""),"",SUMIFS('Sales Log'!$G$3:$G$2002,'Sales Log'!$A$3:$A$2002,$A39,'Sales Log'!$B$3:$B$2002,E$2))</f>
        <v/>
      </c>
      <c r="F39" t="str">
        <f t="shared" si="0"/>
        <v/>
      </c>
    </row>
    <row r="40" spans="2:6">
      <c r="B40" t="str">
        <f>IF(OR($A40="",B$2=""),"",SUMIFS('Sales Log'!$G$3:$G$2002,'Sales Log'!$A$3:$A$2002,$A40,'Sales Log'!$B$3:$B$2002,B$2))</f>
        <v/>
      </c>
      <c r="C40" t="str">
        <f>IF(OR($A40="",C$2=""),"",SUMIFS('Sales Log'!$G$3:$G$2002,'Sales Log'!$A$3:$A$2002,$A40,'Sales Log'!$B$3:$B$2002,C$2))</f>
        <v/>
      </c>
      <c r="D40" t="str">
        <f>IF(OR($A40="",D$2=""),"",SUMIFS('Sales Log'!$G$3:$G$2002,'Sales Log'!$A$3:$A$2002,$A40,'Sales Log'!$B$3:$B$2002,D$2))</f>
        <v/>
      </c>
      <c r="E40" t="str">
        <f>IF(OR($A40="",E$2=""),"",SUMIFS('Sales Log'!$G$3:$G$2002,'Sales Log'!$A$3:$A$2002,$A40,'Sales Log'!$B$3:$B$2002,E$2))</f>
        <v/>
      </c>
      <c r="F40" t="str">
        <f t="shared" si="0"/>
        <v/>
      </c>
    </row>
    <row r="41" spans="2:6">
      <c r="B41" t="str">
        <f>IF(OR($A41="",B$2=""),"",SUMIFS('Sales Log'!$G$3:$G$2002,'Sales Log'!$A$3:$A$2002,$A41,'Sales Log'!$B$3:$B$2002,B$2))</f>
        <v/>
      </c>
      <c r="C41" t="str">
        <f>IF(OR($A41="",C$2=""),"",SUMIFS('Sales Log'!$G$3:$G$2002,'Sales Log'!$A$3:$A$2002,$A41,'Sales Log'!$B$3:$B$2002,C$2))</f>
        <v/>
      </c>
      <c r="D41" t="str">
        <f>IF(OR($A41="",D$2=""),"",SUMIFS('Sales Log'!$G$3:$G$2002,'Sales Log'!$A$3:$A$2002,$A41,'Sales Log'!$B$3:$B$2002,D$2))</f>
        <v/>
      </c>
      <c r="E41" t="str">
        <f>IF(OR($A41="",E$2=""),"",SUMIFS('Sales Log'!$G$3:$G$2002,'Sales Log'!$A$3:$A$2002,$A41,'Sales Log'!$B$3:$B$2002,E$2))</f>
        <v/>
      </c>
      <c r="F41" t="str">
        <f t="shared" si="0"/>
        <v/>
      </c>
    </row>
    <row r="42" spans="2:6">
      <c r="B42" t="str">
        <f>IF(OR($A42="",B$2=""),"",SUMIFS('Sales Log'!$G$3:$G$2002,'Sales Log'!$A$3:$A$2002,$A42,'Sales Log'!$B$3:$B$2002,B$2))</f>
        <v/>
      </c>
      <c r="C42" t="str">
        <f>IF(OR($A42="",C$2=""),"",SUMIFS('Sales Log'!$G$3:$G$2002,'Sales Log'!$A$3:$A$2002,$A42,'Sales Log'!$B$3:$B$2002,C$2))</f>
        <v/>
      </c>
      <c r="D42" t="str">
        <f>IF(OR($A42="",D$2=""),"",SUMIFS('Sales Log'!$G$3:$G$2002,'Sales Log'!$A$3:$A$2002,$A42,'Sales Log'!$B$3:$B$2002,D$2))</f>
        <v/>
      </c>
      <c r="E42" t="str">
        <f>IF(OR($A42="",E$2=""),"",SUMIFS('Sales Log'!$G$3:$G$2002,'Sales Log'!$A$3:$A$2002,$A42,'Sales Log'!$B$3:$B$2002,E$2))</f>
        <v/>
      </c>
      <c r="F42" t="str">
        <f t="shared" si="0"/>
        <v/>
      </c>
    </row>
    <row r="43" spans="2:6">
      <c r="B43" t="str">
        <f>IF(OR($A43="",B$2=""),"",SUMIFS('Sales Log'!$G$3:$G$2002,'Sales Log'!$A$3:$A$2002,$A43,'Sales Log'!$B$3:$B$2002,B$2))</f>
        <v/>
      </c>
      <c r="C43" t="str">
        <f>IF(OR($A43="",C$2=""),"",SUMIFS('Sales Log'!$G$3:$G$2002,'Sales Log'!$A$3:$A$2002,$A43,'Sales Log'!$B$3:$B$2002,C$2))</f>
        <v/>
      </c>
      <c r="D43" t="str">
        <f>IF(OR($A43="",D$2=""),"",SUMIFS('Sales Log'!$G$3:$G$2002,'Sales Log'!$A$3:$A$2002,$A43,'Sales Log'!$B$3:$B$2002,D$2))</f>
        <v/>
      </c>
      <c r="E43" t="str">
        <f>IF(OR($A43="",E$2=""),"",SUMIFS('Sales Log'!$G$3:$G$2002,'Sales Log'!$A$3:$A$2002,$A43,'Sales Log'!$B$3:$B$2002,E$2))</f>
        <v/>
      </c>
      <c r="F43" t="str">
        <f t="shared" si="0"/>
        <v/>
      </c>
    </row>
    <row r="44" spans="2:6">
      <c r="B44" t="str">
        <f>IF(OR($A44="",B$2=""),"",SUMIFS('Sales Log'!$G$3:$G$2002,'Sales Log'!$A$3:$A$2002,$A44,'Sales Log'!$B$3:$B$2002,B$2))</f>
        <v/>
      </c>
      <c r="C44" t="str">
        <f>IF(OR($A44="",C$2=""),"",SUMIFS('Sales Log'!$G$3:$G$2002,'Sales Log'!$A$3:$A$2002,$A44,'Sales Log'!$B$3:$B$2002,C$2))</f>
        <v/>
      </c>
      <c r="D44" t="str">
        <f>IF(OR($A44="",D$2=""),"",SUMIFS('Sales Log'!$G$3:$G$2002,'Sales Log'!$A$3:$A$2002,$A44,'Sales Log'!$B$3:$B$2002,D$2))</f>
        <v/>
      </c>
      <c r="E44" t="str">
        <f>IF(OR($A44="",E$2=""),"",SUMIFS('Sales Log'!$G$3:$G$2002,'Sales Log'!$A$3:$A$2002,$A44,'Sales Log'!$B$3:$B$2002,E$2))</f>
        <v/>
      </c>
      <c r="F44" t="str">
        <f t="shared" si="0"/>
        <v/>
      </c>
    </row>
    <row r="45" spans="2:6">
      <c r="B45" t="str">
        <f>IF(OR($A45="",B$2=""),"",SUMIFS('Sales Log'!$G$3:$G$2002,'Sales Log'!$A$3:$A$2002,$A45,'Sales Log'!$B$3:$B$2002,B$2))</f>
        <v/>
      </c>
      <c r="C45" t="str">
        <f>IF(OR($A45="",C$2=""),"",SUMIFS('Sales Log'!$G$3:$G$2002,'Sales Log'!$A$3:$A$2002,$A45,'Sales Log'!$B$3:$B$2002,C$2))</f>
        <v/>
      </c>
      <c r="D45" t="str">
        <f>IF(OR($A45="",D$2=""),"",SUMIFS('Sales Log'!$G$3:$G$2002,'Sales Log'!$A$3:$A$2002,$A45,'Sales Log'!$B$3:$B$2002,D$2))</f>
        <v/>
      </c>
      <c r="E45" t="str">
        <f>IF(OR($A45="",E$2=""),"",SUMIFS('Sales Log'!$G$3:$G$2002,'Sales Log'!$A$3:$A$2002,$A45,'Sales Log'!$B$3:$B$2002,E$2))</f>
        <v/>
      </c>
      <c r="F45" t="str">
        <f t="shared" si="0"/>
        <v/>
      </c>
    </row>
    <row r="46" spans="2:6">
      <c r="B46" t="str">
        <f>IF(OR($A46="",B$2=""),"",SUMIFS('Sales Log'!$G$3:$G$2002,'Sales Log'!$A$3:$A$2002,$A46,'Sales Log'!$B$3:$B$2002,B$2))</f>
        <v/>
      </c>
      <c r="C46" t="str">
        <f>IF(OR($A46="",C$2=""),"",SUMIFS('Sales Log'!$G$3:$G$2002,'Sales Log'!$A$3:$A$2002,$A46,'Sales Log'!$B$3:$B$2002,C$2))</f>
        <v/>
      </c>
      <c r="D46" t="str">
        <f>IF(OR($A46="",D$2=""),"",SUMIFS('Sales Log'!$G$3:$G$2002,'Sales Log'!$A$3:$A$2002,$A46,'Sales Log'!$B$3:$B$2002,D$2))</f>
        <v/>
      </c>
      <c r="E46" t="str">
        <f>IF(OR($A46="",E$2=""),"",SUMIFS('Sales Log'!$G$3:$G$2002,'Sales Log'!$A$3:$A$2002,$A46,'Sales Log'!$B$3:$B$2002,E$2))</f>
        <v/>
      </c>
      <c r="F46" t="str">
        <f t="shared" si="0"/>
        <v/>
      </c>
    </row>
    <row r="47" spans="2:6">
      <c r="B47" t="str">
        <f>IF(OR($A47="",B$2=""),"",SUMIFS('Sales Log'!$G$3:$G$2002,'Sales Log'!$A$3:$A$2002,$A47,'Sales Log'!$B$3:$B$2002,B$2))</f>
        <v/>
      </c>
      <c r="C47" t="str">
        <f>IF(OR($A47="",C$2=""),"",SUMIFS('Sales Log'!$G$3:$G$2002,'Sales Log'!$A$3:$A$2002,$A47,'Sales Log'!$B$3:$B$2002,C$2))</f>
        <v/>
      </c>
      <c r="D47" t="str">
        <f>IF(OR($A47="",D$2=""),"",SUMIFS('Sales Log'!$G$3:$G$2002,'Sales Log'!$A$3:$A$2002,$A47,'Sales Log'!$B$3:$B$2002,D$2))</f>
        <v/>
      </c>
      <c r="E47" t="str">
        <f>IF(OR($A47="",E$2=""),"",SUMIFS('Sales Log'!$G$3:$G$2002,'Sales Log'!$A$3:$A$2002,$A47,'Sales Log'!$B$3:$B$2002,E$2))</f>
        <v/>
      </c>
      <c r="F47" t="str">
        <f t="shared" si="0"/>
        <v/>
      </c>
    </row>
    <row r="48" spans="2:6">
      <c r="B48" t="str">
        <f>IF(OR($A48="",B$2=""),"",SUMIFS('Sales Log'!$G$3:$G$2002,'Sales Log'!$A$3:$A$2002,$A48,'Sales Log'!$B$3:$B$2002,B$2))</f>
        <v/>
      </c>
      <c r="C48" t="str">
        <f>IF(OR($A48="",C$2=""),"",SUMIFS('Sales Log'!$G$3:$G$2002,'Sales Log'!$A$3:$A$2002,$A48,'Sales Log'!$B$3:$B$2002,C$2))</f>
        <v/>
      </c>
      <c r="D48" t="str">
        <f>IF(OR($A48="",D$2=""),"",SUMIFS('Sales Log'!$G$3:$G$2002,'Sales Log'!$A$3:$A$2002,$A48,'Sales Log'!$B$3:$B$2002,D$2))</f>
        <v/>
      </c>
      <c r="E48" t="str">
        <f>IF(OR($A48="",E$2=""),"",SUMIFS('Sales Log'!$G$3:$G$2002,'Sales Log'!$A$3:$A$2002,$A48,'Sales Log'!$B$3:$B$2002,E$2))</f>
        <v/>
      </c>
      <c r="F48" t="str">
        <f t="shared" si="0"/>
        <v/>
      </c>
    </row>
    <row r="49" spans="2:6">
      <c r="B49" t="str">
        <f>IF(OR($A49="",B$2=""),"",SUMIFS('Sales Log'!$G$3:$G$2002,'Sales Log'!$A$3:$A$2002,$A49,'Sales Log'!$B$3:$B$2002,B$2))</f>
        <v/>
      </c>
      <c r="C49" t="str">
        <f>IF(OR($A49="",C$2=""),"",SUMIFS('Sales Log'!$G$3:$G$2002,'Sales Log'!$A$3:$A$2002,$A49,'Sales Log'!$B$3:$B$2002,C$2))</f>
        <v/>
      </c>
      <c r="D49" t="str">
        <f>IF(OR($A49="",D$2=""),"",SUMIFS('Sales Log'!$G$3:$G$2002,'Sales Log'!$A$3:$A$2002,$A49,'Sales Log'!$B$3:$B$2002,D$2))</f>
        <v/>
      </c>
      <c r="E49" t="str">
        <f>IF(OR($A49="",E$2=""),"",SUMIFS('Sales Log'!$G$3:$G$2002,'Sales Log'!$A$3:$A$2002,$A49,'Sales Log'!$B$3:$B$2002,E$2))</f>
        <v/>
      </c>
      <c r="F49" t="str">
        <f t="shared" si="0"/>
        <v/>
      </c>
    </row>
    <row r="50" spans="2:6">
      <c r="B50" t="str">
        <f>IF(OR($A50="",B$2=""),"",SUMIFS('Sales Log'!$G$3:$G$2002,'Sales Log'!$A$3:$A$2002,$A50,'Sales Log'!$B$3:$B$2002,B$2))</f>
        <v/>
      </c>
      <c r="C50" t="str">
        <f>IF(OR($A50="",C$2=""),"",SUMIFS('Sales Log'!$G$3:$G$2002,'Sales Log'!$A$3:$A$2002,$A50,'Sales Log'!$B$3:$B$2002,C$2))</f>
        <v/>
      </c>
      <c r="D50" t="str">
        <f>IF(OR($A50="",D$2=""),"",SUMIFS('Sales Log'!$G$3:$G$2002,'Sales Log'!$A$3:$A$2002,$A50,'Sales Log'!$B$3:$B$2002,D$2))</f>
        <v/>
      </c>
      <c r="E50" t="str">
        <f>IF(OR($A50="",E$2=""),"",SUMIFS('Sales Log'!$G$3:$G$2002,'Sales Log'!$A$3:$A$2002,$A50,'Sales Log'!$B$3:$B$2002,E$2))</f>
        <v/>
      </c>
      <c r="F50" t="str">
        <f t="shared" si="0"/>
        <v/>
      </c>
    </row>
    <row r="51" spans="2:6">
      <c r="B51" t="str">
        <f>IF(OR($A51="",B$2=""),"",SUMIFS('Sales Log'!$G$3:$G$2002,'Sales Log'!$A$3:$A$2002,$A51,'Sales Log'!$B$3:$B$2002,B$2))</f>
        <v/>
      </c>
      <c r="C51" t="str">
        <f>IF(OR($A51="",C$2=""),"",SUMIFS('Sales Log'!$G$3:$G$2002,'Sales Log'!$A$3:$A$2002,$A51,'Sales Log'!$B$3:$B$2002,C$2))</f>
        <v/>
      </c>
      <c r="D51" t="str">
        <f>IF(OR($A51="",D$2=""),"",SUMIFS('Sales Log'!$G$3:$G$2002,'Sales Log'!$A$3:$A$2002,$A51,'Sales Log'!$B$3:$B$2002,D$2))</f>
        <v/>
      </c>
      <c r="E51" t="str">
        <f>IF(OR($A51="",E$2=""),"",SUMIFS('Sales Log'!$G$3:$G$2002,'Sales Log'!$A$3:$A$2002,$A51,'Sales Log'!$B$3:$B$2002,E$2))</f>
        <v/>
      </c>
      <c r="F51" t="str">
        <f t="shared" si="0"/>
        <v/>
      </c>
    </row>
    <row r="52" spans="2:6">
      <c r="B52" t="str">
        <f>IF(OR($A52="",B$2=""),"",SUMIFS('Sales Log'!$G$3:$G$2002,'Sales Log'!$A$3:$A$2002,$A52,'Sales Log'!$B$3:$B$2002,B$2))</f>
        <v/>
      </c>
      <c r="C52" t="str">
        <f>IF(OR($A52="",C$2=""),"",SUMIFS('Sales Log'!$G$3:$G$2002,'Sales Log'!$A$3:$A$2002,$A52,'Sales Log'!$B$3:$B$2002,C$2))</f>
        <v/>
      </c>
      <c r="D52" t="str">
        <f>IF(OR($A52="",D$2=""),"",SUMIFS('Sales Log'!$G$3:$G$2002,'Sales Log'!$A$3:$A$2002,$A52,'Sales Log'!$B$3:$B$2002,D$2))</f>
        <v/>
      </c>
      <c r="E52" t="str">
        <f>IF(OR($A52="",E$2=""),"",SUMIFS('Sales Log'!$G$3:$G$2002,'Sales Log'!$A$3:$A$2002,$A52,'Sales Log'!$B$3:$B$2002,E$2))</f>
        <v/>
      </c>
      <c r="F52" t="str">
        <f t="shared" si="0"/>
        <v/>
      </c>
    </row>
    <row r="53" spans="2:6">
      <c r="B53" t="str">
        <f>IF(OR($A53="",B$2=""),"",SUMIFS('Sales Log'!$G$3:$G$2002,'Sales Log'!$A$3:$A$2002,$A53,'Sales Log'!$B$3:$B$2002,B$2))</f>
        <v/>
      </c>
      <c r="C53" t="str">
        <f>IF(OR($A53="",C$2=""),"",SUMIFS('Sales Log'!$G$3:$G$2002,'Sales Log'!$A$3:$A$2002,$A53,'Sales Log'!$B$3:$B$2002,C$2))</f>
        <v/>
      </c>
      <c r="D53" t="str">
        <f>IF(OR($A53="",D$2=""),"",SUMIFS('Sales Log'!$G$3:$G$2002,'Sales Log'!$A$3:$A$2002,$A53,'Sales Log'!$B$3:$B$2002,D$2))</f>
        <v/>
      </c>
      <c r="E53" t="str">
        <f>IF(OR($A53="",E$2=""),"",SUMIFS('Sales Log'!$G$3:$G$2002,'Sales Log'!$A$3:$A$2002,$A53,'Sales Log'!$B$3:$B$2002,E$2))</f>
        <v/>
      </c>
      <c r="F53" t="str">
        <f t="shared" si="0"/>
        <v/>
      </c>
    </row>
    <row r="54" spans="2:6">
      <c r="B54" t="str">
        <f>IF(OR($A54="",B$2=""),"",SUMIFS('Sales Log'!$G$3:$G$2002,'Sales Log'!$A$3:$A$2002,$A54,'Sales Log'!$B$3:$B$2002,B$2))</f>
        <v/>
      </c>
      <c r="C54" t="str">
        <f>IF(OR($A54="",C$2=""),"",SUMIFS('Sales Log'!$G$3:$G$2002,'Sales Log'!$A$3:$A$2002,$A54,'Sales Log'!$B$3:$B$2002,C$2))</f>
        <v/>
      </c>
      <c r="D54" t="str">
        <f>IF(OR($A54="",D$2=""),"",SUMIFS('Sales Log'!$G$3:$G$2002,'Sales Log'!$A$3:$A$2002,$A54,'Sales Log'!$B$3:$B$2002,D$2))</f>
        <v/>
      </c>
      <c r="E54" t="str">
        <f>IF(OR($A54="",E$2=""),"",SUMIFS('Sales Log'!$G$3:$G$2002,'Sales Log'!$A$3:$A$2002,$A54,'Sales Log'!$B$3:$B$2002,E$2))</f>
        <v/>
      </c>
      <c r="F54" t="str">
        <f t="shared" si="0"/>
        <v/>
      </c>
    </row>
    <row r="55" spans="2:6">
      <c r="B55" t="str">
        <f>IF(OR($A55="",B$2=""),"",SUMIFS('Sales Log'!$G$3:$G$2002,'Sales Log'!$A$3:$A$2002,$A55,'Sales Log'!$B$3:$B$2002,B$2))</f>
        <v/>
      </c>
      <c r="C55" t="str">
        <f>IF(OR($A55="",C$2=""),"",SUMIFS('Sales Log'!$G$3:$G$2002,'Sales Log'!$A$3:$A$2002,$A55,'Sales Log'!$B$3:$B$2002,C$2))</f>
        <v/>
      </c>
      <c r="D55" t="str">
        <f>IF(OR($A55="",D$2=""),"",SUMIFS('Sales Log'!$G$3:$G$2002,'Sales Log'!$A$3:$A$2002,$A55,'Sales Log'!$B$3:$B$2002,D$2))</f>
        <v/>
      </c>
      <c r="E55" t="str">
        <f>IF(OR($A55="",E$2=""),"",SUMIFS('Sales Log'!$G$3:$G$2002,'Sales Log'!$A$3:$A$2002,$A55,'Sales Log'!$B$3:$B$2002,E$2))</f>
        <v/>
      </c>
      <c r="F55" t="str">
        <f t="shared" si="0"/>
        <v/>
      </c>
    </row>
    <row r="56" spans="2:6">
      <c r="B56" t="str">
        <f>IF(OR($A56="",B$2=""),"",SUMIFS('Sales Log'!$G$3:$G$2002,'Sales Log'!$A$3:$A$2002,$A56,'Sales Log'!$B$3:$B$2002,B$2))</f>
        <v/>
      </c>
      <c r="C56" t="str">
        <f>IF(OR($A56="",C$2=""),"",SUMIFS('Sales Log'!$G$3:$G$2002,'Sales Log'!$A$3:$A$2002,$A56,'Sales Log'!$B$3:$B$2002,C$2))</f>
        <v/>
      </c>
      <c r="D56" t="str">
        <f>IF(OR($A56="",D$2=""),"",SUMIFS('Sales Log'!$G$3:$G$2002,'Sales Log'!$A$3:$A$2002,$A56,'Sales Log'!$B$3:$B$2002,D$2))</f>
        <v/>
      </c>
      <c r="E56" t="str">
        <f>IF(OR($A56="",E$2=""),"",SUMIFS('Sales Log'!$G$3:$G$2002,'Sales Log'!$A$3:$A$2002,$A56,'Sales Log'!$B$3:$B$2002,E$2))</f>
        <v/>
      </c>
      <c r="F56" t="str">
        <f t="shared" si="0"/>
        <v/>
      </c>
    </row>
    <row r="57" spans="2:6">
      <c r="B57" t="str">
        <f>IF(OR($A57="",B$2=""),"",SUMIFS('Sales Log'!$G$3:$G$2002,'Sales Log'!$A$3:$A$2002,$A57,'Sales Log'!$B$3:$B$2002,B$2))</f>
        <v/>
      </c>
      <c r="C57" t="str">
        <f>IF(OR($A57="",C$2=""),"",SUMIFS('Sales Log'!$G$3:$G$2002,'Sales Log'!$A$3:$A$2002,$A57,'Sales Log'!$B$3:$B$2002,C$2))</f>
        <v/>
      </c>
      <c r="D57" t="str">
        <f>IF(OR($A57="",D$2=""),"",SUMIFS('Sales Log'!$G$3:$G$2002,'Sales Log'!$A$3:$A$2002,$A57,'Sales Log'!$B$3:$B$2002,D$2))</f>
        <v/>
      </c>
      <c r="E57" t="str">
        <f>IF(OR($A57="",E$2=""),"",SUMIFS('Sales Log'!$G$3:$G$2002,'Sales Log'!$A$3:$A$2002,$A57,'Sales Log'!$B$3:$B$2002,E$2))</f>
        <v/>
      </c>
      <c r="F57" t="str">
        <f t="shared" si="0"/>
        <v/>
      </c>
    </row>
    <row r="58" spans="2:6">
      <c r="B58" t="str">
        <f>IF(OR($A58="",B$2=""),"",SUMIFS('Sales Log'!$G$3:$G$2002,'Sales Log'!$A$3:$A$2002,$A58,'Sales Log'!$B$3:$B$2002,B$2))</f>
        <v/>
      </c>
      <c r="C58" t="str">
        <f>IF(OR($A58="",C$2=""),"",SUMIFS('Sales Log'!$G$3:$G$2002,'Sales Log'!$A$3:$A$2002,$A58,'Sales Log'!$B$3:$B$2002,C$2))</f>
        <v/>
      </c>
      <c r="D58" t="str">
        <f>IF(OR($A58="",D$2=""),"",SUMIFS('Sales Log'!$G$3:$G$2002,'Sales Log'!$A$3:$A$2002,$A58,'Sales Log'!$B$3:$B$2002,D$2))</f>
        <v/>
      </c>
      <c r="E58" t="str">
        <f>IF(OR($A58="",E$2=""),"",SUMIFS('Sales Log'!$G$3:$G$2002,'Sales Log'!$A$3:$A$2002,$A58,'Sales Log'!$B$3:$B$2002,E$2))</f>
        <v/>
      </c>
      <c r="F58" t="str">
        <f t="shared" si="0"/>
        <v/>
      </c>
    </row>
    <row r="59" spans="2:6">
      <c r="B59" t="str">
        <f>IF(OR($A59="",B$2=""),"",SUMIFS('Sales Log'!$G$3:$G$2002,'Sales Log'!$A$3:$A$2002,$A59,'Sales Log'!$B$3:$B$2002,B$2))</f>
        <v/>
      </c>
      <c r="C59" t="str">
        <f>IF(OR($A59="",C$2=""),"",SUMIFS('Sales Log'!$G$3:$G$2002,'Sales Log'!$A$3:$A$2002,$A59,'Sales Log'!$B$3:$B$2002,C$2))</f>
        <v/>
      </c>
      <c r="D59" t="str">
        <f>IF(OR($A59="",D$2=""),"",SUMIFS('Sales Log'!$G$3:$G$2002,'Sales Log'!$A$3:$A$2002,$A59,'Sales Log'!$B$3:$B$2002,D$2))</f>
        <v/>
      </c>
      <c r="E59" t="str">
        <f>IF(OR($A59="",E$2=""),"",SUMIFS('Sales Log'!$G$3:$G$2002,'Sales Log'!$A$3:$A$2002,$A59,'Sales Log'!$B$3:$B$2002,E$2))</f>
        <v/>
      </c>
      <c r="F59" t="str">
        <f t="shared" si="0"/>
        <v/>
      </c>
    </row>
    <row r="60" spans="2:6">
      <c r="B60" t="str">
        <f>IF(OR($A60="",B$2=""),"",SUMIFS('Sales Log'!$G$3:$G$2002,'Sales Log'!$A$3:$A$2002,$A60,'Sales Log'!$B$3:$B$2002,B$2))</f>
        <v/>
      </c>
      <c r="C60" t="str">
        <f>IF(OR($A60="",C$2=""),"",SUMIFS('Sales Log'!$G$3:$G$2002,'Sales Log'!$A$3:$A$2002,$A60,'Sales Log'!$B$3:$B$2002,C$2))</f>
        <v/>
      </c>
      <c r="D60" t="str">
        <f>IF(OR($A60="",D$2=""),"",SUMIFS('Sales Log'!$G$3:$G$2002,'Sales Log'!$A$3:$A$2002,$A60,'Sales Log'!$B$3:$B$2002,D$2))</f>
        <v/>
      </c>
      <c r="E60" t="str">
        <f>IF(OR($A60="",E$2=""),"",SUMIFS('Sales Log'!$G$3:$G$2002,'Sales Log'!$A$3:$A$2002,$A60,'Sales Log'!$B$3:$B$2002,E$2))</f>
        <v/>
      </c>
      <c r="F60" t="str">
        <f t="shared" si="0"/>
        <v/>
      </c>
    </row>
    <row r="61" spans="2:6">
      <c r="B61" t="str">
        <f>IF(OR($A61="",B$2=""),"",SUMIFS('Sales Log'!$G$3:$G$2002,'Sales Log'!$A$3:$A$2002,$A61,'Sales Log'!$B$3:$B$2002,B$2))</f>
        <v/>
      </c>
      <c r="C61" t="str">
        <f>IF(OR($A61="",C$2=""),"",SUMIFS('Sales Log'!$G$3:$G$2002,'Sales Log'!$A$3:$A$2002,$A61,'Sales Log'!$B$3:$B$2002,C$2))</f>
        <v/>
      </c>
      <c r="D61" t="str">
        <f>IF(OR($A61="",D$2=""),"",SUMIFS('Sales Log'!$G$3:$G$2002,'Sales Log'!$A$3:$A$2002,$A61,'Sales Log'!$B$3:$B$2002,D$2))</f>
        <v/>
      </c>
      <c r="E61" t="str">
        <f>IF(OR($A61="",E$2=""),"",SUMIFS('Sales Log'!$G$3:$G$2002,'Sales Log'!$A$3:$A$2002,$A61,'Sales Log'!$B$3:$B$2002,E$2))</f>
        <v/>
      </c>
      <c r="F61" t="str">
        <f t="shared" si="0"/>
        <v/>
      </c>
    </row>
    <row r="62" spans="2:6">
      <c r="B62" t="str">
        <f>IF(OR($A62="",B$2=""),"",SUMIFS('Sales Log'!$G$3:$G$2002,'Sales Log'!$A$3:$A$2002,$A62,'Sales Log'!$B$3:$B$2002,B$2))</f>
        <v/>
      </c>
      <c r="C62" t="str">
        <f>IF(OR($A62="",C$2=""),"",SUMIFS('Sales Log'!$G$3:$G$2002,'Sales Log'!$A$3:$A$2002,$A62,'Sales Log'!$B$3:$B$2002,C$2))</f>
        <v/>
      </c>
      <c r="D62" t="str">
        <f>IF(OR($A62="",D$2=""),"",SUMIFS('Sales Log'!$G$3:$G$2002,'Sales Log'!$A$3:$A$2002,$A62,'Sales Log'!$B$3:$B$2002,D$2))</f>
        <v/>
      </c>
      <c r="E62" t="str">
        <f>IF(OR($A62="",E$2=""),"",SUMIFS('Sales Log'!$G$3:$G$2002,'Sales Log'!$A$3:$A$2002,$A62,'Sales Log'!$B$3:$B$2002,E$2))</f>
        <v/>
      </c>
      <c r="F62" t="str">
        <f t="shared" si="0"/>
        <v/>
      </c>
    </row>
    <row r="63" spans="2:6">
      <c r="B63" t="str">
        <f>IF(OR($A63="",B$2=""),"",SUMIFS('Sales Log'!$G$3:$G$2002,'Sales Log'!$A$3:$A$2002,$A63,'Sales Log'!$B$3:$B$2002,B$2))</f>
        <v/>
      </c>
      <c r="C63" t="str">
        <f>IF(OR($A63="",C$2=""),"",SUMIFS('Sales Log'!$G$3:$G$2002,'Sales Log'!$A$3:$A$2002,$A63,'Sales Log'!$B$3:$B$2002,C$2))</f>
        <v/>
      </c>
      <c r="D63" t="str">
        <f>IF(OR($A63="",D$2=""),"",SUMIFS('Sales Log'!$G$3:$G$2002,'Sales Log'!$A$3:$A$2002,$A63,'Sales Log'!$B$3:$B$2002,D$2))</f>
        <v/>
      </c>
      <c r="E63" t="str">
        <f>IF(OR($A63="",E$2=""),"",SUMIFS('Sales Log'!$G$3:$G$2002,'Sales Log'!$A$3:$A$2002,$A63,'Sales Log'!$B$3:$B$2002,E$2))</f>
        <v/>
      </c>
      <c r="F63" t="str">
        <f t="shared" si="0"/>
        <v/>
      </c>
    </row>
    <row r="64" spans="2:6">
      <c r="B64" t="str">
        <f>IF(OR($A64="",B$2=""),"",SUMIFS('Sales Log'!$G$3:$G$2002,'Sales Log'!$A$3:$A$2002,$A64,'Sales Log'!$B$3:$B$2002,B$2))</f>
        <v/>
      </c>
      <c r="C64" t="str">
        <f>IF(OR($A64="",C$2=""),"",SUMIFS('Sales Log'!$G$3:$G$2002,'Sales Log'!$A$3:$A$2002,$A64,'Sales Log'!$B$3:$B$2002,C$2))</f>
        <v/>
      </c>
      <c r="D64" t="str">
        <f>IF(OR($A64="",D$2=""),"",SUMIFS('Sales Log'!$G$3:$G$2002,'Sales Log'!$A$3:$A$2002,$A64,'Sales Log'!$B$3:$B$2002,D$2))</f>
        <v/>
      </c>
      <c r="E64" t="str">
        <f>IF(OR($A64="",E$2=""),"",SUMIFS('Sales Log'!$G$3:$G$2002,'Sales Log'!$A$3:$A$2002,$A64,'Sales Log'!$B$3:$B$2002,E$2))</f>
        <v/>
      </c>
      <c r="F64" t="str">
        <f t="shared" si="0"/>
        <v/>
      </c>
    </row>
    <row r="65" spans="2:6">
      <c r="B65" t="str">
        <f>IF(OR($A65="",B$2=""),"",SUMIFS('Sales Log'!$G$3:$G$2002,'Sales Log'!$A$3:$A$2002,$A65,'Sales Log'!$B$3:$B$2002,B$2))</f>
        <v/>
      </c>
      <c r="C65" t="str">
        <f>IF(OR($A65="",C$2=""),"",SUMIFS('Sales Log'!$G$3:$G$2002,'Sales Log'!$A$3:$A$2002,$A65,'Sales Log'!$B$3:$B$2002,C$2))</f>
        <v/>
      </c>
      <c r="D65" t="str">
        <f>IF(OR($A65="",D$2=""),"",SUMIFS('Sales Log'!$G$3:$G$2002,'Sales Log'!$A$3:$A$2002,$A65,'Sales Log'!$B$3:$B$2002,D$2))</f>
        <v/>
      </c>
      <c r="E65" t="str">
        <f>IF(OR($A65="",E$2=""),"",SUMIFS('Sales Log'!$G$3:$G$2002,'Sales Log'!$A$3:$A$2002,$A65,'Sales Log'!$B$3:$B$2002,E$2))</f>
        <v/>
      </c>
      <c r="F65" t="str">
        <f t="shared" si="0"/>
        <v/>
      </c>
    </row>
    <row r="66" spans="2:6">
      <c r="B66" t="str">
        <f>IF(OR($A66="",B$2=""),"",SUMIFS('Sales Log'!$G$3:$G$2002,'Sales Log'!$A$3:$A$2002,$A66,'Sales Log'!$B$3:$B$2002,B$2))</f>
        <v/>
      </c>
      <c r="C66" t="str">
        <f>IF(OR($A66="",C$2=""),"",SUMIFS('Sales Log'!$G$3:$G$2002,'Sales Log'!$A$3:$A$2002,$A66,'Sales Log'!$B$3:$B$2002,C$2))</f>
        <v/>
      </c>
      <c r="D66" t="str">
        <f>IF(OR($A66="",D$2=""),"",SUMIFS('Sales Log'!$G$3:$G$2002,'Sales Log'!$A$3:$A$2002,$A66,'Sales Log'!$B$3:$B$2002,D$2))</f>
        <v/>
      </c>
      <c r="E66" t="str">
        <f>IF(OR($A66="",E$2=""),"",SUMIFS('Sales Log'!$G$3:$G$2002,'Sales Log'!$A$3:$A$2002,$A66,'Sales Log'!$B$3:$B$2002,E$2))</f>
        <v/>
      </c>
      <c r="F66" t="str">
        <f t="shared" si="0"/>
        <v/>
      </c>
    </row>
    <row r="67" spans="2:6">
      <c r="B67" t="str">
        <f>IF(OR($A67="",B$2=""),"",SUMIFS('Sales Log'!$G$3:$G$2002,'Sales Log'!$A$3:$A$2002,$A67,'Sales Log'!$B$3:$B$2002,B$2))</f>
        <v/>
      </c>
      <c r="C67" t="str">
        <f>IF(OR($A67="",C$2=""),"",SUMIFS('Sales Log'!$G$3:$G$2002,'Sales Log'!$A$3:$A$2002,$A67,'Sales Log'!$B$3:$B$2002,C$2))</f>
        <v/>
      </c>
      <c r="D67" t="str">
        <f>IF(OR($A67="",D$2=""),"",SUMIFS('Sales Log'!$G$3:$G$2002,'Sales Log'!$A$3:$A$2002,$A67,'Sales Log'!$B$3:$B$2002,D$2))</f>
        <v/>
      </c>
      <c r="E67" t="str">
        <f>IF(OR($A67="",E$2=""),"",SUMIFS('Sales Log'!$G$3:$G$2002,'Sales Log'!$A$3:$A$2002,$A67,'Sales Log'!$B$3:$B$2002,E$2))</f>
        <v/>
      </c>
      <c r="F67" t="str">
        <f t="shared" ref="F67:F130" si="1">IF(A67="","",SUM(B67:E67))</f>
        <v/>
      </c>
    </row>
    <row r="68" spans="2:6">
      <c r="B68" t="str">
        <f>IF(OR($A68="",B$2=""),"",SUMIFS('Sales Log'!$G$3:$G$2002,'Sales Log'!$A$3:$A$2002,$A68,'Sales Log'!$B$3:$B$2002,B$2))</f>
        <v/>
      </c>
      <c r="C68" t="str">
        <f>IF(OR($A68="",C$2=""),"",SUMIFS('Sales Log'!$G$3:$G$2002,'Sales Log'!$A$3:$A$2002,$A68,'Sales Log'!$B$3:$B$2002,C$2))</f>
        <v/>
      </c>
      <c r="D68" t="str">
        <f>IF(OR($A68="",D$2=""),"",SUMIFS('Sales Log'!$G$3:$G$2002,'Sales Log'!$A$3:$A$2002,$A68,'Sales Log'!$B$3:$B$2002,D$2))</f>
        <v/>
      </c>
      <c r="E68" t="str">
        <f>IF(OR($A68="",E$2=""),"",SUMIFS('Sales Log'!$G$3:$G$2002,'Sales Log'!$A$3:$A$2002,$A68,'Sales Log'!$B$3:$B$2002,E$2))</f>
        <v/>
      </c>
      <c r="F68" t="str">
        <f t="shared" si="1"/>
        <v/>
      </c>
    </row>
    <row r="69" spans="2:6">
      <c r="B69" t="str">
        <f>IF(OR($A69="",B$2=""),"",SUMIFS('Sales Log'!$G$3:$G$2002,'Sales Log'!$A$3:$A$2002,$A69,'Sales Log'!$B$3:$B$2002,B$2))</f>
        <v/>
      </c>
      <c r="C69" t="str">
        <f>IF(OR($A69="",C$2=""),"",SUMIFS('Sales Log'!$G$3:$G$2002,'Sales Log'!$A$3:$A$2002,$A69,'Sales Log'!$B$3:$B$2002,C$2))</f>
        <v/>
      </c>
      <c r="D69" t="str">
        <f>IF(OR($A69="",D$2=""),"",SUMIFS('Sales Log'!$G$3:$G$2002,'Sales Log'!$A$3:$A$2002,$A69,'Sales Log'!$B$3:$B$2002,D$2))</f>
        <v/>
      </c>
      <c r="E69" t="str">
        <f>IF(OR($A69="",E$2=""),"",SUMIFS('Sales Log'!$G$3:$G$2002,'Sales Log'!$A$3:$A$2002,$A69,'Sales Log'!$B$3:$B$2002,E$2))</f>
        <v/>
      </c>
      <c r="F69" t="str">
        <f t="shared" si="1"/>
        <v/>
      </c>
    </row>
    <row r="70" spans="2:6">
      <c r="B70" t="str">
        <f>IF(OR($A70="",B$2=""),"",SUMIFS('Sales Log'!$G$3:$G$2002,'Sales Log'!$A$3:$A$2002,$A70,'Sales Log'!$B$3:$B$2002,B$2))</f>
        <v/>
      </c>
      <c r="C70" t="str">
        <f>IF(OR($A70="",C$2=""),"",SUMIFS('Sales Log'!$G$3:$G$2002,'Sales Log'!$A$3:$A$2002,$A70,'Sales Log'!$B$3:$B$2002,C$2))</f>
        <v/>
      </c>
      <c r="D70" t="str">
        <f>IF(OR($A70="",D$2=""),"",SUMIFS('Sales Log'!$G$3:$G$2002,'Sales Log'!$A$3:$A$2002,$A70,'Sales Log'!$B$3:$B$2002,D$2))</f>
        <v/>
      </c>
      <c r="E70" t="str">
        <f>IF(OR($A70="",E$2=""),"",SUMIFS('Sales Log'!$G$3:$G$2002,'Sales Log'!$A$3:$A$2002,$A70,'Sales Log'!$B$3:$B$2002,E$2))</f>
        <v/>
      </c>
      <c r="F70" t="str">
        <f t="shared" si="1"/>
        <v/>
      </c>
    </row>
    <row r="71" spans="2:6">
      <c r="B71" t="str">
        <f>IF(OR($A71="",B$2=""),"",SUMIFS('Sales Log'!$G$3:$G$2002,'Sales Log'!$A$3:$A$2002,$A71,'Sales Log'!$B$3:$B$2002,B$2))</f>
        <v/>
      </c>
      <c r="C71" t="str">
        <f>IF(OR($A71="",C$2=""),"",SUMIFS('Sales Log'!$G$3:$G$2002,'Sales Log'!$A$3:$A$2002,$A71,'Sales Log'!$B$3:$B$2002,C$2))</f>
        <v/>
      </c>
      <c r="D71" t="str">
        <f>IF(OR($A71="",D$2=""),"",SUMIFS('Sales Log'!$G$3:$G$2002,'Sales Log'!$A$3:$A$2002,$A71,'Sales Log'!$B$3:$B$2002,D$2))</f>
        <v/>
      </c>
      <c r="E71" t="str">
        <f>IF(OR($A71="",E$2=""),"",SUMIFS('Sales Log'!$G$3:$G$2002,'Sales Log'!$A$3:$A$2002,$A71,'Sales Log'!$B$3:$B$2002,E$2))</f>
        <v/>
      </c>
      <c r="F71" t="str">
        <f t="shared" si="1"/>
        <v/>
      </c>
    </row>
    <row r="72" spans="2:6">
      <c r="B72" t="str">
        <f>IF(OR($A72="",B$2=""),"",SUMIFS('Sales Log'!$G$3:$G$2002,'Sales Log'!$A$3:$A$2002,$A72,'Sales Log'!$B$3:$B$2002,B$2))</f>
        <v/>
      </c>
      <c r="C72" t="str">
        <f>IF(OR($A72="",C$2=""),"",SUMIFS('Sales Log'!$G$3:$G$2002,'Sales Log'!$A$3:$A$2002,$A72,'Sales Log'!$B$3:$B$2002,C$2))</f>
        <v/>
      </c>
      <c r="D72" t="str">
        <f>IF(OR($A72="",D$2=""),"",SUMIFS('Sales Log'!$G$3:$G$2002,'Sales Log'!$A$3:$A$2002,$A72,'Sales Log'!$B$3:$B$2002,D$2))</f>
        <v/>
      </c>
      <c r="E72" t="str">
        <f>IF(OR($A72="",E$2=""),"",SUMIFS('Sales Log'!$G$3:$G$2002,'Sales Log'!$A$3:$A$2002,$A72,'Sales Log'!$B$3:$B$2002,E$2))</f>
        <v/>
      </c>
      <c r="F72" t="str">
        <f t="shared" si="1"/>
        <v/>
      </c>
    </row>
    <row r="73" spans="2:6">
      <c r="B73" t="str">
        <f>IF(OR($A73="",B$2=""),"",SUMIFS('Sales Log'!$G$3:$G$2002,'Sales Log'!$A$3:$A$2002,$A73,'Sales Log'!$B$3:$B$2002,B$2))</f>
        <v/>
      </c>
      <c r="C73" t="str">
        <f>IF(OR($A73="",C$2=""),"",SUMIFS('Sales Log'!$G$3:$G$2002,'Sales Log'!$A$3:$A$2002,$A73,'Sales Log'!$B$3:$B$2002,C$2))</f>
        <v/>
      </c>
      <c r="D73" t="str">
        <f>IF(OR($A73="",D$2=""),"",SUMIFS('Sales Log'!$G$3:$G$2002,'Sales Log'!$A$3:$A$2002,$A73,'Sales Log'!$B$3:$B$2002,D$2))</f>
        <v/>
      </c>
      <c r="E73" t="str">
        <f>IF(OR($A73="",E$2=""),"",SUMIFS('Sales Log'!$G$3:$G$2002,'Sales Log'!$A$3:$A$2002,$A73,'Sales Log'!$B$3:$B$2002,E$2))</f>
        <v/>
      </c>
      <c r="F73" t="str">
        <f t="shared" si="1"/>
        <v/>
      </c>
    </row>
    <row r="74" spans="2:6">
      <c r="B74" t="str">
        <f>IF(OR($A74="",B$2=""),"",SUMIFS('Sales Log'!$G$3:$G$2002,'Sales Log'!$A$3:$A$2002,$A74,'Sales Log'!$B$3:$B$2002,B$2))</f>
        <v/>
      </c>
      <c r="C74" t="str">
        <f>IF(OR($A74="",C$2=""),"",SUMIFS('Sales Log'!$G$3:$G$2002,'Sales Log'!$A$3:$A$2002,$A74,'Sales Log'!$B$3:$B$2002,C$2))</f>
        <v/>
      </c>
      <c r="D74" t="str">
        <f>IF(OR($A74="",D$2=""),"",SUMIFS('Sales Log'!$G$3:$G$2002,'Sales Log'!$A$3:$A$2002,$A74,'Sales Log'!$B$3:$B$2002,D$2))</f>
        <v/>
      </c>
      <c r="E74" t="str">
        <f>IF(OR($A74="",E$2=""),"",SUMIFS('Sales Log'!$G$3:$G$2002,'Sales Log'!$A$3:$A$2002,$A74,'Sales Log'!$B$3:$B$2002,E$2))</f>
        <v/>
      </c>
      <c r="F74" t="str">
        <f t="shared" si="1"/>
        <v/>
      </c>
    </row>
    <row r="75" spans="2:6">
      <c r="B75" t="str">
        <f>IF(OR($A75="",B$2=""),"",SUMIFS('Sales Log'!$G$3:$G$2002,'Sales Log'!$A$3:$A$2002,$A75,'Sales Log'!$B$3:$B$2002,B$2))</f>
        <v/>
      </c>
      <c r="C75" t="str">
        <f>IF(OR($A75="",C$2=""),"",SUMIFS('Sales Log'!$G$3:$G$2002,'Sales Log'!$A$3:$A$2002,$A75,'Sales Log'!$B$3:$B$2002,C$2))</f>
        <v/>
      </c>
      <c r="D75" t="str">
        <f>IF(OR($A75="",D$2=""),"",SUMIFS('Sales Log'!$G$3:$G$2002,'Sales Log'!$A$3:$A$2002,$A75,'Sales Log'!$B$3:$B$2002,D$2))</f>
        <v/>
      </c>
      <c r="E75" t="str">
        <f>IF(OR($A75="",E$2=""),"",SUMIFS('Sales Log'!$G$3:$G$2002,'Sales Log'!$A$3:$A$2002,$A75,'Sales Log'!$B$3:$B$2002,E$2))</f>
        <v/>
      </c>
      <c r="F75" t="str">
        <f t="shared" si="1"/>
        <v/>
      </c>
    </row>
    <row r="76" spans="2:6">
      <c r="B76" t="str">
        <f>IF(OR($A76="",B$2=""),"",SUMIFS('Sales Log'!$G$3:$G$2002,'Sales Log'!$A$3:$A$2002,$A76,'Sales Log'!$B$3:$B$2002,B$2))</f>
        <v/>
      </c>
      <c r="C76" t="str">
        <f>IF(OR($A76="",C$2=""),"",SUMIFS('Sales Log'!$G$3:$G$2002,'Sales Log'!$A$3:$A$2002,$A76,'Sales Log'!$B$3:$B$2002,C$2))</f>
        <v/>
      </c>
      <c r="D76" t="str">
        <f>IF(OR($A76="",D$2=""),"",SUMIFS('Sales Log'!$G$3:$G$2002,'Sales Log'!$A$3:$A$2002,$A76,'Sales Log'!$B$3:$B$2002,D$2))</f>
        <v/>
      </c>
      <c r="E76" t="str">
        <f>IF(OR($A76="",E$2=""),"",SUMIFS('Sales Log'!$G$3:$G$2002,'Sales Log'!$A$3:$A$2002,$A76,'Sales Log'!$B$3:$B$2002,E$2))</f>
        <v/>
      </c>
      <c r="F76" t="str">
        <f t="shared" si="1"/>
        <v/>
      </c>
    </row>
    <row r="77" spans="2:6">
      <c r="B77" t="str">
        <f>IF(OR($A77="",B$2=""),"",SUMIFS('Sales Log'!$G$3:$G$2002,'Sales Log'!$A$3:$A$2002,$A77,'Sales Log'!$B$3:$B$2002,B$2))</f>
        <v/>
      </c>
      <c r="C77" t="str">
        <f>IF(OR($A77="",C$2=""),"",SUMIFS('Sales Log'!$G$3:$G$2002,'Sales Log'!$A$3:$A$2002,$A77,'Sales Log'!$B$3:$B$2002,C$2))</f>
        <v/>
      </c>
      <c r="D77" t="str">
        <f>IF(OR($A77="",D$2=""),"",SUMIFS('Sales Log'!$G$3:$G$2002,'Sales Log'!$A$3:$A$2002,$A77,'Sales Log'!$B$3:$B$2002,D$2))</f>
        <v/>
      </c>
      <c r="E77" t="str">
        <f>IF(OR($A77="",E$2=""),"",SUMIFS('Sales Log'!$G$3:$G$2002,'Sales Log'!$A$3:$A$2002,$A77,'Sales Log'!$B$3:$B$2002,E$2))</f>
        <v/>
      </c>
      <c r="F77" t="str">
        <f t="shared" si="1"/>
        <v/>
      </c>
    </row>
    <row r="78" spans="2:6">
      <c r="B78" t="str">
        <f>IF(OR($A78="",B$2=""),"",SUMIFS('Sales Log'!$G$3:$G$2002,'Sales Log'!$A$3:$A$2002,$A78,'Sales Log'!$B$3:$B$2002,B$2))</f>
        <v/>
      </c>
      <c r="C78" t="str">
        <f>IF(OR($A78="",C$2=""),"",SUMIFS('Sales Log'!$G$3:$G$2002,'Sales Log'!$A$3:$A$2002,$A78,'Sales Log'!$B$3:$B$2002,C$2))</f>
        <v/>
      </c>
      <c r="D78" t="str">
        <f>IF(OR($A78="",D$2=""),"",SUMIFS('Sales Log'!$G$3:$G$2002,'Sales Log'!$A$3:$A$2002,$A78,'Sales Log'!$B$3:$B$2002,D$2))</f>
        <v/>
      </c>
      <c r="E78" t="str">
        <f>IF(OR($A78="",E$2=""),"",SUMIFS('Sales Log'!$G$3:$G$2002,'Sales Log'!$A$3:$A$2002,$A78,'Sales Log'!$B$3:$B$2002,E$2))</f>
        <v/>
      </c>
      <c r="F78" t="str">
        <f t="shared" si="1"/>
        <v/>
      </c>
    </row>
    <row r="79" spans="2:6">
      <c r="B79" t="str">
        <f>IF(OR($A79="",B$2=""),"",SUMIFS('Sales Log'!$G$3:$G$2002,'Sales Log'!$A$3:$A$2002,$A79,'Sales Log'!$B$3:$B$2002,B$2))</f>
        <v/>
      </c>
      <c r="C79" t="str">
        <f>IF(OR($A79="",C$2=""),"",SUMIFS('Sales Log'!$G$3:$G$2002,'Sales Log'!$A$3:$A$2002,$A79,'Sales Log'!$B$3:$B$2002,C$2))</f>
        <v/>
      </c>
      <c r="D79" t="str">
        <f>IF(OR($A79="",D$2=""),"",SUMIFS('Sales Log'!$G$3:$G$2002,'Sales Log'!$A$3:$A$2002,$A79,'Sales Log'!$B$3:$B$2002,D$2))</f>
        <v/>
      </c>
      <c r="E79" t="str">
        <f>IF(OR($A79="",E$2=""),"",SUMIFS('Sales Log'!$G$3:$G$2002,'Sales Log'!$A$3:$A$2002,$A79,'Sales Log'!$B$3:$B$2002,E$2))</f>
        <v/>
      </c>
      <c r="F79" t="str">
        <f t="shared" si="1"/>
        <v/>
      </c>
    </row>
    <row r="80" spans="2:6">
      <c r="B80" t="str">
        <f>IF(OR($A80="",B$2=""),"",SUMIFS('Sales Log'!$G$3:$G$2002,'Sales Log'!$A$3:$A$2002,$A80,'Sales Log'!$B$3:$B$2002,B$2))</f>
        <v/>
      </c>
      <c r="C80" t="str">
        <f>IF(OR($A80="",C$2=""),"",SUMIFS('Sales Log'!$G$3:$G$2002,'Sales Log'!$A$3:$A$2002,$A80,'Sales Log'!$B$3:$B$2002,C$2))</f>
        <v/>
      </c>
      <c r="D80" t="str">
        <f>IF(OR($A80="",D$2=""),"",SUMIFS('Sales Log'!$G$3:$G$2002,'Sales Log'!$A$3:$A$2002,$A80,'Sales Log'!$B$3:$B$2002,D$2))</f>
        <v/>
      </c>
      <c r="E80" t="str">
        <f>IF(OR($A80="",E$2=""),"",SUMIFS('Sales Log'!$G$3:$G$2002,'Sales Log'!$A$3:$A$2002,$A80,'Sales Log'!$B$3:$B$2002,E$2))</f>
        <v/>
      </c>
      <c r="F80" t="str">
        <f t="shared" si="1"/>
        <v/>
      </c>
    </row>
    <row r="81" spans="2:6">
      <c r="B81" t="str">
        <f>IF(OR($A81="",B$2=""),"",SUMIFS('Sales Log'!$G$3:$G$2002,'Sales Log'!$A$3:$A$2002,$A81,'Sales Log'!$B$3:$B$2002,B$2))</f>
        <v/>
      </c>
      <c r="C81" t="str">
        <f>IF(OR($A81="",C$2=""),"",SUMIFS('Sales Log'!$G$3:$G$2002,'Sales Log'!$A$3:$A$2002,$A81,'Sales Log'!$B$3:$B$2002,C$2))</f>
        <v/>
      </c>
      <c r="D81" t="str">
        <f>IF(OR($A81="",D$2=""),"",SUMIFS('Sales Log'!$G$3:$G$2002,'Sales Log'!$A$3:$A$2002,$A81,'Sales Log'!$B$3:$B$2002,D$2))</f>
        <v/>
      </c>
      <c r="E81" t="str">
        <f>IF(OR($A81="",E$2=""),"",SUMIFS('Sales Log'!$G$3:$G$2002,'Sales Log'!$A$3:$A$2002,$A81,'Sales Log'!$B$3:$B$2002,E$2))</f>
        <v/>
      </c>
      <c r="F81" t="str">
        <f t="shared" si="1"/>
        <v/>
      </c>
    </row>
    <row r="82" spans="2:6">
      <c r="B82" t="str">
        <f>IF(OR($A82="",B$2=""),"",SUMIFS('Sales Log'!$G$3:$G$2002,'Sales Log'!$A$3:$A$2002,$A82,'Sales Log'!$B$3:$B$2002,B$2))</f>
        <v/>
      </c>
      <c r="C82" t="str">
        <f>IF(OR($A82="",C$2=""),"",SUMIFS('Sales Log'!$G$3:$G$2002,'Sales Log'!$A$3:$A$2002,$A82,'Sales Log'!$B$3:$B$2002,C$2))</f>
        <v/>
      </c>
      <c r="D82" t="str">
        <f>IF(OR($A82="",D$2=""),"",SUMIFS('Sales Log'!$G$3:$G$2002,'Sales Log'!$A$3:$A$2002,$A82,'Sales Log'!$B$3:$B$2002,D$2))</f>
        <v/>
      </c>
      <c r="E82" t="str">
        <f>IF(OR($A82="",E$2=""),"",SUMIFS('Sales Log'!$G$3:$G$2002,'Sales Log'!$A$3:$A$2002,$A82,'Sales Log'!$B$3:$B$2002,E$2))</f>
        <v/>
      </c>
      <c r="F82" t="str">
        <f t="shared" si="1"/>
        <v/>
      </c>
    </row>
    <row r="83" spans="2:6">
      <c r="B83" t="str">
        <f>IF(OR($A83="",B$2=""),"",SUMIFS('Sales Log'!$G$3:$G$2002,'Sales Log'!$A$3:$A$2002,$A83,'Sales Log'!$B$3:$B$2002,B$2))</f>
        <v/>
      </c>
      <c r="C83" t="str">
        <f>IF(OR($A83="",C$2=""),"",SUMIFS('Sales Log'!$G$3:$G$2002,'Sales Log'!$A$3:$A$2002,$A83,'Sales Log'!$B$3:$B$2002,C$2))</f>
        <v/>
      </c>
      <c r="D83" t="str">
        <f>IF(OR($A83="",D$2=""),"",SUMIFS('Sales Log'!$G$3:$G$2002,'Sales Log'!$A$3:$A$2002,$A83,'Sales Log'!$B$3:$B$2002,D$2))</f>
        <v/>
      </c>
      <c r="E83" t="str">
        <f>IF(OR($A83="",E$2=""),"",SUMIFS('Sales Log'!$G$3:$G$2002,'Sales Log'!$A$3:$A$2002,$A83,'Sales Log'!$B$3:$B$2002,E$2))</f>
        <v/>
      </c>
      <c r="F83" t="str">
        <f t="shared" si="1"/>
        <v/>
      </c>
    </row>
    <row r="84" spans="2:6">
      <c r="B84" t="str">
        <f>IF(OR($A84="",B$2=""),"",SUMIFS('Sales Log'!$G$3:$G$2002,'Sales Log'!$A$3:$A$2002,$A84,'Sales Log'!$B$3:$B$2002,B$2))</f>
        <v/>
      </c>
      <c r="C84" t="str">
        <f>IF(OR($A84="",C$2=""),"",SUMIFS('Sales Log'!$G$3:$G$2002,'Sales Log'!$A$3:$A$2002,$A84,'Sales Log'!$B$3:$B$2002,C$2))</f>
        <v/>
      </c>
      <c r="D84" t="str">
        <f>IF(OR($A84="",D$2=""),"",SUMIFS('Sales Log'!$G$3:$G$2002,'Sales Log'!$A$3:$A$2002,$A84,'Sales Log'!$B$3:$B$2002,D$2))</f>
        <v/>
      </c>
      <c r="E84" t="str">
        <f>IF(OR($A84="",E$2=""),"",SUMIFS('Sales Log'!$G$3:$G$2002,'Sales Log'!$A$3:$A$2002,$A84,'Sales Log'!$B$3:$B$2002,E$2))</f>
        <v/>
      </c>
      <c r="F84" t="str">
        <f t="shared" si="1"/>
        <v/>
      </c>
    </row>
    <row r="85" spans="2:6">
      <c r="B85" t="str">
        <f>IF(OR($A85="",B$2=""),"",SUMIFS('Sales Log'!$G$3:$G$2002,'Sales Log'!$A$3:$A$2002,$A85,'Sales Log'!$B$3:$B$2002,B$2))</f>
        <v/>
      </c>
      <c r="C85" t="str">
        <f>IF(OR($A85="",C$2=""),"",SUMIFS('Sales Log'!$G$3:$G$2002,'Sales Log'!$A$3:$A$2002,$A85,'Sales Log'!$B$3:$B$2002,C$2))</f>
        <v/>
      </c>
      <c r="D85" t="str">
        <f>IF(OR($A85="",D$2=""),"",SUMIFS('Sales Log'!$G$3:$G$2002,'Sales Log'!$A$3:$A$2002,$A85,'Sales Log'!$B$3:$B$2002,D$2))</f>
        <v/>
      </c>
      <c r="E85" t="str">
        <f>IF(OR($A85="",E$2=""),"",SUMIFS('Sales Log'!$G$3:$G$2002,'Sales Log'!$A$3:$A$2002,$A85,'Sales Log'!$B$3:$B$2002,E$2))</f>
        <v/>
      </c>
      <c r="F85" t="str">
        <f t="shared" si="1"/>
        <v/>
      </c>
    </row>
    <row r="86" spans="2:6">
      <c r="B86" t="str">
        <f>IF(OR($A86="",B$2=""),"",SUMIFS('Sales Log'!$G$3:$G$2002,'Sales Log'!$A$3:$A$2002,$A86,'Sales Log'!$B$3:$B$2002,B$2))</f>
        <v/>
      </c>
      <c r="C86" t="str">
        <f>IF(OR($A86="",C$2=""),"",SUMIFS('Sales Log'!$G$3:$G$2002,'Sales Log'!$A$3:$A$2002,$A86,'Sales Log'!$B$3:$B$2002,C$2))</f>
        <v/>
      </c>
      <c r="D86" t="str">
        <f>IF(OR($A86="",D$2=""),"",SUMIFS('Sales Log'!$G$3:$G$2002,'Sales Log'!$A$3:$A$2002,$A86,'Sales Log'!$B$3:$B$2002,D$2))</f>
        <v/>
      </c>
      <c r="E86" t="str">
        <f>IF(OR($A86="",E$2=""),"",SUMIFS('Sales Log'!$G$3:$G$2002,'Sales Log'!$A$3:$A$2002,$A86,'Sales Log'!$B$3:$B$2002,E$2))</f>
        <v/>
      </c>
      <c r="F86" t="str">
        <f t="shared" si="1"/>
        <v/>
      </c>
    </row>
    <row r="87" spans="2:6">
      <c r="B87" t="str">
        <f>IF(OR($A87="",B$2=""),"",SUMIFS('Sales Log'!$G$3:$G$2002,'Sales Log'!$A$3:$A$2002,$A87,'Sales Log'!$B$3:$B$2002,B$2))</f>
        <v/>
      </c>
      <c r="C87" t="str">
        <f>IF(OR($A87="",C$2=""),"",SUMIFS('Sales Log'!$G$3:$G$2002,'Sales Log'!$A$3:$A$2002,$A87,'Sales Log'!$B$3:$B$2002,C$2))</f>
        <v/>
      </c>
      <c r="D87" t="str">
        <f>IF(OR($A87="",D$2=""),"",SUMIFS('Sales Log'!$G$3:$G$2002,'Sales Log'!$A$3:$A$2002,$A87,'Sales Log'!$B$3:$B$2002,D$2))</f>
        <v/>
      </c>
      <c r="E87" t="str">
        <f>IF(OR($A87="",E$2=""),"",SUMIFS('Sales Log'!$G$3:$G$2002,'Sales Log'!$A$3:$A$2002,$A87,'Sales Log'!$B$3:$B$2002,E$2))</f>
        <v/>
      </c>
      <c r="F87" t="str">
        <f t="shared" si="1"/>
        <v/>
      </c>
    </row>
    <row r="88" spans="2:6">
      <c r="B88" t="str">
        <f>IF(OR($A88="",B$2=""),"",SUMIFS('Sales Log'!$G$3:$G$2002,'Sales Log'!$A$3:$A$2002,$A88,'Sales Log'!$B$3:$B$2002,B$2))</f>
        <v/>
      </c>
      <c r="C88" t="str">
        <f>IF(OR($A88="",C$2=""),"",SUMIFS('Sales Log'!$G$3:$G$2002,'Sales Log'!$A$3:$A$2002,$A88,'Sales Log'!$B$3:$B$2002,C$2))</f>
        <v/>
      </c>
      <c r="D88" t="str">
        <f>IF(OR($A88="",D$2=""),"",SUMIFS('Sales Log'!$G$3:$G$2002,'Sales Log'!$A$3:$A$2002,$A88,'Sales Log'!$B$3:$B$2002,D$2))</f>
        <v/>
      </c>
      <c r="E88" t="str">
        <f>IF(OR($A88="",E$2=""),"",SUMIFS('Sales Log'!$G$3:$G$2002,'Sales Log'!$A$3:$A$2002,$A88,'Sales Log'!$B$3:$B$2002,E$2))</f>
        <v/>
      </c>
      <c r="F88" t="str">
        <f t="shared" si="1"/>
        <v/>
      </c>
    </row>
    <row r="89" spans="2:6">
      <c r="B89" t="str">
        <f>IF(OR($A89="",B$2=""),"",SUMIFS('Sales Log'!$G$3:$G$2002,'Sales Log'!$A$3:$A$2002,$A89,'Sales Log'!$B$3:$B$2002,B$2))</f>
        <v/>
      </c>
      <c r="C89" t="str">
        <f>IF(OR($A89="",C$2=""),"",SUMIFS('Sales Log'!$G$3:$G$2002,'Sales Log'!$A$3:$A$2002,$A89,'Sales Log'!$B$3:$B$2002,C$2))</f>
        <v/>
      </c>
      <c r="D89" t="str">
        <f>IF(OR($A89="",D$2=""),"",SUMIFS('Sales Log'!$G$3:$G$2002,'Sales Log'!$A$3:$A$2002,$A89,'Sales Log'!$B$3:$B$2002,D$2))</f>
        <v/>
      </c>
      <c r="E89" t="str">
        <f>IF(OR($A89="",E$2=""),"",SUMIFS('Sales Log'!$G$3:$G$2002,'Sales Log'!$A$3:$A$2002,$A89,'Sales Log'!$B$3:$B$2002,E$2))</f>
        <v/>
      </c>
      <c r="F89" t="str">
        <f t="shared" si="1"/>
        <v/>
      </c>
    </row>
    <row r="90" spans="2:6">
      <c r="B90" t="str">
        <f>IF(OR($A90="",B$2=""),"",SUMIFS('Sales Log'!$G$3:$G$2002,'Sales Log'!$A$3:$A$2002,$A90,'Sales Log'!$B$3:$B$2002,B$2))</f>
        <v/>
      </c>
      <c r="C90" t="str">
        <f>IF(OR($A90="",C$2=""),"",SUMIFS('Sales Log'!$G$3:$G$2002,'Sales Log'!$A$3:$A$2002,$A90,'Sales Log'!$B$3:$B$2002,C$2))</f>
        <v/>
      </c>
      <c r="D90" t="str">
        <f>IF(OR($A90="",D$2=""),"",SUMIFS('Sales Log'!$G$3:$G$2002,'Sales Log'!$A$3:$A$2002,$A90,'Sales Log'!$B$3:$B$2002,D$2))</f>
        <v/>
      </c>
      <c r="E90" t="str">
        <f>IF(OR($A90="",E$2=""),"",SUMIFS('Sales Log'!$G$3:$G$2002,'Sales Log'!$A$3:$A$2002,$A90,'Sales Log'!$B$3:$B$2002,E$2))</f>
        <v/>
      </c>
      <c r="F90" t="str">
        <f t="shared" si="1"/>
        <v/>
      </c>
    </row>
    <row r="91" spans="2:6">
      <c r="B91" t="str">
        <f>IF(OR($A91="",B$2=""),"",SUMIFS('Sales Log'!$G$3:$G$2002,'Sales Log'!$A$3:$A$2002,$A91,'Sales Log'!$B$3:$B$2002,B$2))</f>
        <v/>
      </c>
      <c r="C91" t="str">
        <f>IF(OR($A91="",C$2=""),"",SUMIFS('Sales Log'!$G$3:$G$2002,'Sales Log'!$A$3:$A$2002,$A91,'Sales Log'!$B$3:$B$2002,C$2))</f>
        <v/>
      </c>
      <c r="D91" t="str">
        <f>IF(OR($A91="",D$2=""),"",SUMIFS('Sales Log'!$G$3:$G$2002,'Sales Log'!$A$3:$A$2002,$A91,'Sales Log'!$B$3:$B$2002,D$2))</f>
        <v/>
      </c>
      <c r="E91" t="str">
        <f>IF(OR($A91="",E$2=""),"",SUMIFS('Sales Log'!$G$3:$G$2002,'Sales Log'!$A$3:$A$2002,$A91,'Sales Log'!$B$3:$B$2002,E$2))</f>
        <v/>
      </c>
      <c r="F91" t="str">
        <f t="shared" si="1"/>
        <v/>
      </c>
    </row>
    <row r="92" spans="2:6">
      <c r="B92" t="str">
        <f>IF(OR($A92="",B$2=""),"",SUMIFS('Sales Log'!$G$3:$G$2002,'Sales Log'!$A$3:$A$2002,$A92,'Sales Log'!$B$3:$B$2002,B$2))</f>
        <v/>
      </c>
      <c r="C92" t="str">
        <f>IF(OR($A92="",C$2=""),"",SUMIFS('Sales Log'!$G$3:$G$2002,'Sales Log'!$A$3:$A$2002,$A92,'Sales Log'!$B$3:$B$2002,C$2))</f>
        <v/>
      </c>
      <c r="D92" t="str">
        <f>IF(OR($A92="",D$2=""),"",SUMIFS('Sales Log'!$G$3:$G$2002,'Sales Log'!$A$3:$A$2002,$A92,'Sales Log'!$B$3:$B$2002,D$2))</f>
        <v/>
      </c>
      <c r="E92" t="str">
        <f>IF(OR($A92="",E$2=""),"",SUMIFS('Sales Log'!$G$3:$G$2002,'Sales Log'!$A$3:$A$2002,$A92,'Sales Log'!$B$3:$B$2002,E$2))</f>
        <v/>
      </c>
      <c r="F92" t="str">
        <f t="shared" si="1"/>
        <v/>
      </c>
    </row>
    <row r="93" spans="2:6">
      <c r="B93" t="str">
        <f>IF(OR($A93="",B$2=""),"",SUMIFS('Sales Log'!$G$3:$G$2002,'Sales Log'!$A$3:$A$2002,$A93,'Sales Log'!$B$3:$B$2002,B$2))</f>
        <v/>
      </c>
      <c r="C93" t="str">
        <f>IF(OR($A93="",C$2=""),"",SUMIFS('Sales Log'!$G$3:$G$2002,'Sales Log'!$A$3:$A$2002,$A93,'Sales Log'!$B$3:$B$2002,C$2))</f>
        <v/>
      </c>
      <c r="D93" t="str">
        <f>IF(OR($A93="",D$2=""),"",SUMIFS('Sales Log'!$G$3:$G$2002,'Sales Log'!$A$3:$A$2002,$A93,'Sales Log'!$B$3:$B$2002,D$2))</f>
        <v/>
      </c>
      <c r="E93" t="str">
        <f>IF(OR($A93="",E$2=""),"",SUMIFS('Sales Log'!$G$3:$G$2002,'Sales Log'!$A$3:$A$2002,$A93,'Sales Log'!$B$3:$B$2002,E$2))</f>
        <v/>
      </c>
      <c r="F93" t="str">
        <f t="shared" si="1"/>
        <v/>
      </c>
    </row>
    <row r="94" spans="2:6">
      <c r="B94" t="str">
        <f>IF(OR($A94="",B$2=""),"",SUMIFS('Sales Log'!$G$3:$G$2002,'Sales Log'!$A$3:$A$2002,$A94,'Sales Log'!$B$3:$B$2002,B$2))</f>
        <v/>
      </c>
      <c r="C94" t="str">
        <f>IF(OR($A94="",C$2=""),"",SUMIFS('Sales Log'!$G$3:$G$2002,'Sales Log'!$A$3:$A$2002,$A94,'Sales Log'!$B$3:$B$2002,C$2))</f>
        <v/>
      </c>
      <c r="D94" t="str">
        <f>IF(OR($A94="",D$2=""),"",SUMIFS('Sales Log'!$G$3:$G$2002,'Sales Log'!$A$3:$A$2002,$A94,'Sales Log'!$B$3:$B$2002,D$2))</f>
        <v/>
      </c>
      <c r="E94" t="str">
        <f>IF(OR($A94="",E$2=""),"",SUMIFS('Sales Log'!$G$3:$G$2002,'Sales Log'!$A$3:$A$2002,$A94,'Sales Log'!$B$3:$B$2002,E$2))</f>
        <v/>
      </c>
      <c r="F94" t="str">
        <f t="shared" si="1"/>
        <v/>
      </c>
    </row>
    <row r="95" spans="2:6">
      <c r="B95" t="str">
        <f>IF(OR($A95="",B$2=""),"",SUMIFS('Sales Log'!$G$3:$G$2002,'Sales Log'!$A$3:$A$2002,$A95,'Sales Log'!$B$3:$B$2002,B$2))</f>
        <v/>
      </c>
      <c r="C95" t="str">
        <f>IF(OR($A95="",C$2=""),"",SUMIFS('Sales Log'!$G$3:$G$2002,'Sales Log'!$A$3:$A$2002,$A95,'Sales Log'!$B$3:$B$2002,C$2))</f>
        <v/>
      </c>
      <c r="D95" t="str">
        <f>IF(OR($A95="",D$2=""),"",SUMIFS('Sales Log'!$G$3:$G$2002,'Sales Log'!$A$3:$A$2002,$A95,'Sales Log'!$B$3:$B$2002,D$2))</f>
        <v/>
      </c>
      <c r="E95" t="str">
        <f>IF(OR($A95="",E$2=""),"",SUMIFS('Sales Log'!$G$3:$G$2002,'Sales Log'!$A$3:$A$2002,$A95,'Sales Log'!$B$3:$B$2002,E$2))</f>
        <v/>
      </c>
      <c r="F95" t="str">
        <f t="shared" si="1"/>
        <v/>
      </c>
    </row>
    <row r="96" spans="2:6">
      <c r="B96" t="str">
        <f>IF(OR($A96="",B$2=""),"",SUMIFS('Sales Log'!$G$3:$G$2002,'Sales Log'!$A$3:$A$2002,$A96,'Sales Log'!$B$3:$B$2002,B$2))</f>
        <v/>
      </c>
      <c r="C96" t="str">
        <f>IF(OR($A96="",C$2=""),"",SUMIFS('Sales Log'!$G$3:$G$2002,'Sales Log'!$A$3:$A$2002,$A96,'Sales Log'!$B$3:$B$2002,C$2))</f>
        <v/>
      </c>
      <c r="D96" t="str">
        <f>IF(OR($A96="",D$2=""),"",SUMIFS('Sales Log'!$G$3:$G$2002,'Sales Log'!$A$3:$A$2002,$A96,'Sales Log'!$B$3:$B$2002,D$2))</f>
        <v/>
      </c>
      <c r="E96" t="str">
        <f>IF(OR($A96="",E$2=""),"",SUMIFS('Sales Log'!$G$3:$G$2002,'Sales Log'!$A$3:$A$2002,$A96,'Sales Log'!$B$3:$B$2002,E$2))</f>
        <v/>
      </c>
      <c r="F96" t="str">
        <f t="shared" si="1"/>
        <v/>
      </c>
    </row>
    <row r="97" spans="2:6">
      <c r="B97" t="str">
        <f>IF(OR($A97="",B$2=""),"",SUMIFS('Sales Log'!$G$3:$G$2002,'Sales Log'!$A$3:$A$2002,$A97,'Sales Log'!$B$3:$B$2002,B$2))</f>
        <v/>
      </c>
      <c r="C97" t="str">
        <f>IF(OR($A97="",C$2=""),"",SUMIFS('Sales Log'!$G$3:$G$2002,'Sales Log'!$A$3:$A$2002,$A97,'Sales Log'!$B$3:$B$2002,C$2))</f>
        <v/>
      </c>
      <c r="D97" t="str">
        <f>IF(OR($A97="",D$2=""),"",SUMIFS('Sales Log'!$G$3:$G$2002,'Sales Log'!$A$3:$A$2002,$A97,'Sales Log'!$B$3:$B$2002,D$2))</f>
        <v/>
      </c>
      <c r="E97" t="str">
        <f>IF(OR($A97="",E$2=""),"",SUMIFS('Sales Log'!$G$3:$G$2002,'Sales Log'!$A$3:$A$2002,$A97,'Sales Log'!$B$3:$B$2002,E$2))</f>
        <v/>
      </c>
      <c r="F97" t="str">
        <f t="shared" si="1"/>
        <v/>
      </c>
    </row>
    <row r="98" spans="2:6">
      <c r="B98" t="str">
        <f>IF(OR($A98="",B$2=""),"",SUMIFS('Sales Log'!$G$3:$G$2002,'Sales Log'!$A$3:$A$2002,$A98,'Sales Log'!$B$3:$B$2002,B$2))</f>
        <v/>
      </c>
      <c r="C98" t="str">
        <f>IF(OR($A98="",C$2=""),"",SUMIFS('Sales Log'!$G$3:$G$2002,'Sales Log'!$A$3:$A$2002,$A98,'Sales Log'!$B$3:$B$2002,C$2))</f>
        <v/>
      </c>
      <c r="D98" t="str">
        <f>IF(OR($A98="",D$2=""),"",SUMIFS('Sales Log'!$G$3:$G$2002,'Sales Log'!$A$3:$A$2002,$A98,'Sales Log'!$B$3:$B$2002,D$2))</f>
        <v/>
      </c>
      <c r="E98" t="str">
        <f>IF(OR($A98="",E$2=""),"",SUMIFS('Sales Log'!$G$3:$G$2002,'Sales Log'!$A$3:$A$2002,$A98,'Sales Log'!$B$3:$B$2002,E$2))</f>
        <v/>
      </c>
      <c r="F98" t="str">
        <f t="shared" si="1"/>
        <v/>
      </c>
    </row>
    <row r="99" spans="2:6">
      <c r="B99" t="str">
        <f>IF(OR($A99="",B$2=""),"",SUMIFS('Sales Log'!$G$3:$G$2002,'Sales Log'!$A$3:$A$2002,$A99,'Sales Log'!$B$3:$B$2002,B$2))</f>
        <v/>
      </c>
      <c r="C99" t="str">
        <f>IF(OR($A99="",C$2=""),"",SUMIFS('Sales Log'!$G$3:$G$2002,'Sales Log'!$A$3:$A$2002,$A99,'Sales Log'!$B$3:$B$2002,C$2))</f>
        <v/>
      </c>
      <c r="D99" t="str">
        <f>IF(OR($A99="",D$2=""),"",SUMIFS('Sales Log'!$G$3:$G$2002,'Sales Log'!$A$3:$A$2002,$A99,'Sales Log'!$B$3:$B$2002,D$2))</f>
        <v/>
      </c>
      <c r="E99" t="str">
        <f>IF(OR($A99="",E$2=""),"",SUMIFS('Sales Log'!$G$3:$G$2002,'Sales Log'!$A$3:$A$2002,$A99,'Sales Log'!$B$3:$B$2002,E$2))</f>
        <v/>
      </c>
      <c r="F99" t="str">
        <f t="shared" si="1"/>
        <v/>
      </c>
    </row>
    <row r="100" spans="2:6">
      <c r="B100" t="str">
        <f>IF(OR($A100="",B$2=""),"",SUMIFS('Sales Log'!$G$3:$G$2002,'Sales Log'!$A$3:$A$2002,$A100,'Sales Log'!$B$3:$B$2002,B$2))</f>
        <v/>
      </c>
      <c r="C100" t="str">
        <f>IF(OR($A100="",C$2=""),"",SUMIFS('Sales Log'!$G$3:$G$2002,'Sales Log'!$A$3:$A$2002,$A100,'Sales Log'!$B$3:$B$2002,C$2))</f>
        <v/>
      </c>
      <c r="D100" t="str">
        <f>IF(OR($A100="",D$2=""),"",SUMIFS('Sales Log'!$G$3:$G$2002,'Sales Log'!$A$3:$A$2002,$A100,'Sales Log'!$B$3:$B$2002,D$2))</f>
        <v/>
      </c>
      <c r="E100" t="str">
        <f>IF(OR($A100="",E$2=""),"",SUMIFS('Sales Log'!$G$3:$G$2002,'Sales Log'!$A$3:$A$2002,$A100,'Sales Log'!$B$3:$B$2002,E$2))</f>
        <v/>
      </c>
      <c r="F100" t="str">
        <f t="shared" si="1"/>
        <v/>
      </c>
    </row>
    <row r="101" spans="2:6">
      <c r="B101" t="str">
        <f>IF(OR($A101="",B$2=""),"",SUMIFS('Sales Log'!$G$3:$G$2002,'Sales Log'!$A$3:$A$2002,$A101,'Sales Log'!$B$3:$B$2002,B$2))</f>
        <v/>
      </c>
      <c r="C101" t="str">
        <f>IF(OR($A101="",C$2=""),"",SUMIFS('Sales Log'!$G$3:$G$2002,'Sales Log'!$A$3:$A$2002,$A101,'Sales Log'!$B$3:$B$2002,C$2))</f>
        <v/>
      </c>
      <c r="D101" t="str">
        <f>IF(OR($A101="",D$2=""),"",SUMIFS('Sales Log'!$G$3:$G$2002,'Sales Log'!$A$3:$A$2002,$A101,'Sales Log'!$B$3:$B$2002,D$2))</f>
        <v/>
      </c>
      <c r="E101" t="str">
        <f>IF(OR($A101="",E$2=""),"",SUMIFS('Sales Log'!$G$3:$G$2002,'Sales Log'!$A$3:$A$2002,$A101,'Sales Log'!$B$3:$B$2002,E$2))</f>
        <v/>
      </c>
      <c r="F101" t="str">
        <f t="shared" si="1"/>
        <v/>
      </c>
    </row>
    <row r="102" spans="2:6">
      <c r="B102" t="str">
        <f>IF(OR($A102="",B$2=""),"",SUMIFS('Sales Log'!$G$3:$G$2002,'Sales Log'!$A$3:$A$2002,$A102,'Sales Log'!$B$3:$B$2002,B$2))</f>
        <v/>
      </c>
      <c r="C102" t="str">
        <f>IF(OR($A102="",C$2=""),"",SUMIFS('Sales Log'!$G$3:$G$2002,'Sales Log'!$A$3:$A$2002,$A102,'Sales Log'!$B$3:$B$2002,C$2))</f>
        <v/>
      </c>
      <c r="D102" t="str">
        <f>IF(OR($A102="",D$2=""),"",SUMIFS('Sales Log'!$G$3:$G$2002,'Sales Log'!$A$3:$A$2002,$A102,'Sales Log'!$B$3:$B$2002,D$2))</f>
        <v/>
      </c>
      <c r="E102" t="str">
        <f>IF(OR($A102="",E$2=""),"",SUMIFS('Sales Log'!$G$3:$G$2002,'Sales Log'!$A$3:$A$2002,$A102,'Sales Log'!$B$3:$B$2002,E$2))</f>
        <v/>
      </c>
      <c r="F102" t="str">
        <f t="shared" si="1"/>
        <v/>
      </c>
    </row>
    <row r="103" spans="2:6">
      <c r="B103" t="str">
        <f>IF(OR($A103="",B$2=""),"",SUMIFS('Sales Log'!$G$3:$G$2002,'Sales Log'!$A$3:$A$2002,$A103,'Sales Log'!$B$3:$B$2002,B$2))</f>
        <v/>
      </c>
      <c r="C103" t="str">
        <f>IF(OR($A103="",C$2=""),"",SUMIFS('Sales Log'!$G$3:$G$2002,'Sales Log'!$A$3:$A$2002,$A103,'Sales Log'!$B$3:$B$2002,C$2))</f>
        <v/>
      </c>
      <c r="D103" t="str">
        <f>IF(OR($A103="",D$2=""),"",SUMIFS('Sales Log'!$G$3:$G$2002,'Sales Log'!$A$3:$A$2002,$A103,'Sales Log'!$B$3:$B$2002,D$2))</f>
        <v/>
      </c>
      <c r="E103" t="str">
        <f>IF(OR($A103="",E$2=""),"",SUMIFS('Sales Log'!$G$3:$G$2002,'Sales Log'!$A$3:$A$2002,$A103,'Sales Log'!$B$3:$B$2002,E$2))</f>
        <v/>
      </c>
      <c r="F103" t="str">
        <f t="shared" si="1"/>
        <v/>
      </c>
    </row>
    <row r="104" spans="2:6">
      <c r="B104" t="str">
        <f>IF(OR($A104="",B$2=""),"",SUMIFS('Sales Log'!$G$3:$G$2002,'Sales Log'!$A$3:$A$2002,$A104,'Sales Log'!$B$3:$B$2002,B$2))</f>
        <v/>
      </c>
      <c r="C104" t="str">
        <f>IF(OR($A104="",C$2=""),"",SUMIFS('Sales Log'!$G$3:$G$2002,'Sales Log'!$A$3:$A$2002,$A104,'Sales Log'!$B$3:$B$2002,C$2))</f>
        <v/>
      </c>
      <c r="D104" t="str">
        <f>IF(OR($A104="",D$2=""),"",SUMIFS('Sales Log'!$G$3:$G$2002,'Sales Log'!$A$3:$A$2002,$A104,'Sales Log'!$B$3:$B$2002,D$2))</f>
        <v/>
      </c>
      <c r="E104" t="str">
        <f>IF(OR($A104="",E$2=""),"",SUMIFS('Sales Log'!$G$3:$G$2002,'Sales Log'!$A$3:$A$2002,$A104,'Sales Log'!$B$3:$B$2002,E$2))</f>
        <v/>
      </c>
      <c r="F104" t="str">
        <f t="shared" si="1"/>
        <v/>
      </c>
    </row>
    <row r="105" spans="2:6">
      <c r="B105" t="str">
        <f>IF(OR($A105="",B$2=""),"",SUMIFS('Sales Log'!$G$3:$G$2002,'Sales Log'!$A$3:$A$2002,$A105,'Sales Log'!$B$3:$B$2002,B$2))</f>
        <v/>
      </c>
      <c r="C105" t="str">
        <f>IF(OR($A105="",C$2=""),"",SUMIFS('Sales Log'!$G$3:$G$2002,'Sales Log'!$A$3:$A$2002,$A105,'Sales Log'!$B$3:$B$2002,C$2))</f>
        <v/>
      </c>
      <c r="D105" t="str">
        <f>IF(OR($A105="",D$2=""),"",SUMIFS('Sales Log'!$G$3:$G$2002,'Sales Log'!$A$3:$A$2002,$A105,'Sales Log'!$B$3:$B$2002,D$2))</f>
        <v/>
      </c>
      <c r="E105" t="str">
        <f>IF(OR($A105="",E$2=""),"",SUMIFS('Sales Log'!$G$3:$G$2002,'Sales Log'!$A$3:$A$2002,$A105,'Sales Log'!$B$3:$B$2002,E$2))</f>
        <v/>
      </c>
      <c r="F105" t="str">
        <f t="shared" si="1"/>
        <v/>
      </c>
    </row>
    <row r="106" spans="2:6">
      <c r="B106" t="str">
        <f>IF(OR($A106="",B$2=""),"",SUMIFS('Sales Log'!$G$3:$G$2002,'Sales Log'!$A$3:$A$2002,$A106,'Sales Log'!$B$3:$B$2002,B$2))</f>
        <v/>
      </c>
      <c r="C106" t="str">
        <f>IF(OR($A106="",C$2=""),"",SUMIFS('Sales Log'!$G$3:$G$2002,'Sales Log'!$A$3:$A$2002,$A106,'Sales Log'!$B$3:$B$2002,C$2))</f>
        <v/>
      </c>
      <c r="D106" t="str">
        <f>IF(OR($A106="",D$2=""),"",SUMIFS('Sales Log'!$G$3:$G$2002,'Sales Log'!$A$3:$A$2002,$A106,'Sales Log'!$B$3:$B$2002,D$2))</f>
        <v/>
      </c>
      <c r="E106" t="str">
        <f>IF(OR($A106="",E$2=""),"",SUMIFS('Sales Log'!$G$3:$G$2002,'Sales Log'!$A$3:$A$2002,$A106,'Sales Log'!$B$3:$B$2002,E$2))</f>
        <v/>
      </c>
      <c r="F106" t="str">
        <f t="shared" si="1"/>
        <v/>
      </c>
    </row>
    <row r="107" spans="2:6">
      <c r="B107" t="str">
        <f>IF(OR($A107="",B$2=""),"",SUMIFS('Sales Log'!$G$3:$G$2002,'Sales Log'!$A$3:$A$2002,$A107,'Sales Log'!$B$3:$B$2002,B$2))</f>
        <v/>
      </c>
      <c r="C107" t="str">
        <f>IF(OR($A107="",C$2=""),"",SUMIFS('Sales Log'!$G$3:$G$2002,'Sales Log'!$A$3:$A$2002,$A107,'Sales Log'!$B$3:$B$2002,C$2))</f>
        <v/>
      </c>
      <c r="D107" t="str">
        <f>IF(OR($A107="",D$2=""),"",SUMIFS('Sales Log'!$G$3:$G$2002,'Sales Log'!$A$3:$A$2002,$A107,'Sales Log'!$B$3:$B$2002,D$2))</f>
        <v/>
      </c>
      <c r="E107" t="str">
        <f>IF(OR($A107="",E$2=""),"",SUMIFS('Sales Log'!$G$3:$G$2002,'Sales Log'!$A$3:$A$2002,$A107,'Sales Log'!$B$3:$B$2002,E$2))</f>
        <v/>
      </c>
      <c r="F107" t="str">
        <f t="shared" si="1"/>
        <v/>
      </c>
    </row>
    <row r="108" spans="2:6">
      <c r="B108" t="str">
        <f>IF(OR($A108="",B$2=""),"",SUMIFS('Sales Log'!$G$3:$G$2002,'Sales Log'!$A$3:$A$2002,$A108,'Sales Log'!$B$3:$B$2002,B$2))</f>
        <v/>
      </c>
      <c r="C108" t="str">
        <f>IF(OR($A108="",C$2=""),"",SUMIFS('Sales Log'!$G$3:$G$2002,'Sales Log'!$A$3:$A$2002,$A108,'Sales Log'!$B$3:$B$2002,C$2))</f>
        <v/>
      </c>
      <c r="D108" t="str">
        <f>IF(OR($A108="",D$2=""),"",SUMIFS('Sales Log'!$G$3:$G$2002,'Sales Log'!$A$3:$A$2002,$A108,'Sales Log'!$B$3:$B$2002,D$2))</f>
        <v/>
      </c>
      <c r="E108" t="str">
        <f>IF(OR($A108="",E$2=""),"",SUMIFS('Sales Log'!$G$3:$G$2002,'Sales Log'!$A$3:$A$2002,$A108,'Sales Log'!$B$3:$B$2002,E$2))</f>
        <v/>
      </c>
      <c r="F108" t="str">
        <f t="shared" si="1"/>
        <v/>
      </c>
    </row>
    <row r="109" spans="2:6">
      <c r="B109" t="str">
        <f>IF(OR($A109="",B$2=""),"",SUMIFS('Sales Log'!$G$3:$G$2002,'Sales Log'!$A$3:$A$2002,$A109,'Sales Log'!$B$3:$B$2002,B$2))</f>
        <v/>
      </c>
      <c r="C109" t="str">
        <f>IF(OR($A109="",C$2=""),"",SUMIFS('Sales Log'!$G$3:$G$2002,'Sales Log'!$A$3:$A$2002,$A109,'Sales Log'!$B$3:$B$2002,C$2))</f>
        <v/>
      </c>
      <c r="D109" t="str">
        <f>IF(OR($A109="",D$2=""),"",SUMIFS('Sales Log'!$G$3:$G$2002,'Sales Log'!$A$3:$A$2002,$A109,'Sales Log'!$B$3:$B$2002,D$2))</f>
        <v/>
      </c>
      <c r="E109" t="str">
        <f>IF(OR($A109="",E$2=""),"",SUMIFS('Sales Log'!$G$3:$G$2002,'Sales Log'!$A$3:$A$2002,$A109,'Sales Log'!$B$3:$B$2002,E$2))</f>
        <v/>
      </c>
      <c r="F109" t="str">
        <f t="shared" si="1"/>
        <v/>
      </c>
    </row>
    <row r="110" spans="2:6">
      <c r="B110" t="str">
        <f>IF(OR($A110="",B$2=""),"",SUMIFS('Sales Log'!$G$3:$G$2002,'Sales Log'!$A$3:$A$2002,$A110,'Sales Log'!$B$3:$B$2002,B$2))</f>
        <v/>
      </c>
      <c r="C110" t="str">
        <f>IF(OR($A110="",C$2=""),"",SUMIFS('Sales Log'!$G$3:$G$2002,'Sales Log'!$A$3:$A$2002,$A110,'Sales Log'!$B$3:$B$2002,C$2))</f>
        <v/>
      </c>
      <c r="D110" t="str">
        <f>IF(OR($A110="",D$2=""),"",SUMIFS('Sales Log'!$G$3:$G$2002,'Sales Log'!$A$3:$A$2002,$A110,'Sales Log'!$B$3:$B$2002,D$2))</f>
        <v/>
      </c>
      <c r="E110" t="str">
        <f>IF(OR($A110="",E$2=""),"",SUMIFS('Sales Log'!$G$3:$G$2002,'Sales Log'!$A$3:$A$2002,$A110,'Sales Log'!$B$3:$B$2002,E$2))</f>
        <v/>
      </c>
      <c r="F110" t="str">
        <f t="shared" si="1"/>
        <v/>
      </c>
    </row>
    <row r="111" spans="2:6">
      <c r="B111" t="str">
        <f>IF(OR($A111="",B$2=""),"",SUMIFS('Sales Log'!$G$3:$G$2002,'Sales Log'!$A$3:$A$2002,$A111,'Sales Log'!$B$3:$B$2002,B$2))</f>
        <v/>
      </c>
      <c r="C111" t="str">
        <f>IF(OR($A111="",C$2=""),"",SUMIFS('Sales Log'!$G$3:$G$2002,'Sales Log'!$A$3:$A$2002,$A111,'Sales Log'!$B$3:$B$2002,C$2))</f>
        <v/>
      </c>
      <c r="D111" t="str">
        <f>IF(OR($A111="",D$2=""),"",SUMIFS('Sales Log'!$G$3:$G$2002,'Sales Log'!$A$3:$A$2002,$A111,'Sales Log'!$B$3:$B$2002,D$2))</f>
        <v/>
      </c>
      <c r="E111" t="str">
        <f>IF(OR($A111="",E$2=""),"",SUMIFS('Sales Log'!$G$3:$G$2002,'Sales Log'!$A$3:$A$2002,$A111,'Sales Log'!$B$3:$B$2002,E$2))</f>
        <v/>
      </c>
      <c r="F111" t="str">
        <f t="shared" si="1"/>
        <v/>
      </c>
    </row>
    <row r="112" spans="2:6">
      <c r="B112" t="str">
        <f>IF(OR($A112="",B$2=""),"",SUMIFS('Sales Log'!$G$3:$G$2002,'Sales Log'!$A$3:$A$2002,$A112,'Sales Log'!$B$3:$B$2002,B$2))</f>
        <v/>
      </c>
      <c r="C112" t="str">
        <f>IF(OR($A112="",C$2=""),"",SUMIFS('Sales Log'!$G$3:$G$2002,'Sales Log'!$A$3:$A$2002,$A112,'Sales Log'!$B$3:$B$2002,C$2))</f>
        <v/>
      </c>
      <c r="D112" t="str">
        <f>IF(OR($A112="",D$2=""),"",SUMIFS('Sales Log'!$G$3:$G$2002,'Sales Log'!$A$3:$A$2002,$A112,'Sales Log'!$B$3:$B$2002,D$2))</f>
        <v/>
      </c>
      <c r="E112" t="str">
        <f>IF(OR($A112="",E$2=""),"",SUMIFS('Sales Log'!$G$3:$G$2002,'Sales Log'!$A$3:$A$2002,$A112,'Sales Log'!$B$3:$B$2002,E$2))</f>
        <v/>
      </c>
      <c r="F112" t="str">
        <f t="shared" si="1"/>
        <v/>
      </c>
    </row>
    <row r="113" spans="2:6">
      <c r="B113" t="str">
        <f>IF(OR($A113="",B$2=""),"",SUMIFS('Sales Log'!$G$3:$G$2002,'Sales Log'!$A$3:$A$2002,$A113,'Sales Log'!$B$3:$B$2002,B$2))</f>
        <v/>
      </c>
      <c r="C113" t="str">
        <f>IF(OR($A113="",C$2=""),"",SUMIFS('Sales Log'!$G$3:$G$2002,'Sales Log'!$A$3:$A$2002,$A113,'Sales Log'!$B$3:$B$2002,C$2))</f>
        <v/>
      </c>
      <c r="D113" t="str">
        <f>IF(OR($A113="",D$2=""),"",SUMIFS('Sales Log'!$G$3:$G$2002,'Sales Log'!$A$3:$A$2002,$A113,'Sales Log'!$B$3:$B$2002,D$2))</f>
        <v/>
      </c>
      <c r="E113" t="str">
        <f>IF(OR($A113="",E$2=""),"",SUMIFS('Sales Log'!$G$3:$G$2002,'Sales Log'!$A$3:$A$2002,$A113,'Sales Log'!$B$3:$B$2002,E$2))</f>
        <v/>
      </c>
      <c r="F113" t="str">
        <f t="shared" si="1"/>
        <v/>
      </c>
    </row>
    <row r="114" spans="2:6">
      <c r="B114" t="str">
        <f>IF(OR($A114="",B$2=""),"",SUMIFS('Sales Log'!$G$3:$G$2002,'Sales Log'!$A$3:$A$2002,$A114,'Sales Log'!$B$3:$B$2002,B$2))</f>
        <v/>
      </c>
      <c r="C114" t="str">
        <f>IF(OR($A114="",C$2=""),"",SUMIFS('Sales Log'!$G$3:$G$2002,'Sales Log'!$A$3:$A$2002,$A114,'Sales Log'!$B$3:$B$2002,C$2))</f>
        <v/>
      </c>
      <c r="D114" t="str">
        <f>IF(OR($A114="",D$2=""),"",SUMIFS('Sales Log'!$G$3:$G$2002,'Sales Log'!$A$3:$A$2002,$A114,'Sales Log'!$B$3:$B$2002,D$2))</f>
        <v/>
      </c>
      <c r="E114" t="str">
        <f>IF(OR($A114="",E$2=""),"",SUMIFS('Sales Log'!$G$3:$G$2002,'Sales Log'!$A$3:$A$2002,$A114,'Sales Log'!$B$3:$B$2002,E$2))</f>
        <v/>
      </c>
      <c r="F114" t="str">
        <f t="shared" si="1"/>
        <v/>
      </c>
    </row>
    <row r="115" spans="2:6">
      <c r="B115" t="str">
        <f>IF(OR($A115="",B$2=""),"",SUMIFS('Sales Log'!$G$3:$G$2002,'Sales Log'!$A$3:$A$2002,$A115,'Sales Log'!$B$3:$B$2002,B$2))</f>
        <v/>
      </c>
      <c r="C115" t="str">
        <f>IF(OR($A115="",C$2=""),"",SUMIFS('Sales Log'!$G$3:$G$2002,'Sales Log'!$A$3:$A$2002,$A115,'Sales Log'!$B$3:$B$2002,C$2))</f>
        <v/>
      </c>
      <c r="D115" t="str">
        <f>IF(OR($A115="",D$2=""),"",SUMIFS('Sales Log'!$G$3:$G$2002,'Sales Log'!$A$3:$A$2002,$A115,'Sales Log'!$B$3:$B$2002,D$2))</f>
        <v/>
      </c>
      <c r="E115" t="str">
        <f>IF(OR($A115="",E$2=""),"",SUMIFS('Sales Log'!$G$3:$G$2002,'Sales Log'!$A$3:$A$2002,$A115,'Sales Log'!$B$3:$B$2002,E$2))</f>
        <v/>
      </c>
      <c r="F115" t="str">
        <f t="shared" si="1"/>
        <v/>
      </c>
    </row>
    <row r="116" spans="2:6">
      <c r="B116" t="str">
        <f>IF(OR($A116="",B$2=""),"",SUMIFS('Sales Log'!$G$3:$G$2002,'Sales Log'!$A$3:$A$2002,$A116,'Sales Log'!$B$3:$B$2002,B$2))</f>
        <v/>
      </c>
      <c r="C116" t="str">
        <f>IF(OR($A116="",C$2=""),"",SUMIFS('Sales Log'!$G$3:$G$2002,'Sales Log'!$A$3:$A$2002,$A116,'Sales Log'!$B$3:$B$2002,C$2))</f>
        <v/>
      </c>
      <c r="D116" t="str">
        <f>IF(OR($A116="",D$2=""),"",SUMIFS('Sales Log'!$G$3:$G$2002,'Sales Log'!$A$3:$A$2002,$A116,'Sales Log'!$B$3:$B$2002,D$2))</f>
        <v/>
      </c>
      <c r="E116" t="str">
        <f>IF(OR($A116="",E$2=""),"",SUMIFS('Sales Log'!$G$3:$G$2002,'Sales Log'!$A$3:$A$2002,$A116,'Sales Log'!$B$3:$B$2002,E$2))</f>
        <v/>
      </c>
      <c r="F116" t="str">
        <f t="shared" si="1"/>
        <v/>
      </c>
    </row>
    <row r="117" spans="2:6">
      <c r="B117" t="str">
        <f>IF(OR($A117="",B$2=""),"",SUMIFS('Sales Log'!$G$3:$G$2002,'Sales Log'!$A$3:$A$2002,$A117,'Sales Log'!$B$3:$B$2002,B$2))</f>
        <v/>
      </c>
      <c r="C117" t="str">
        <f>IF(OR($A117="",C$2=""),"",SUMIFS('Sales Log'!$G$3:$G$2002,'Sales Log'!$A$3:$A$2002,$A117,'Sales Log'!$B$3:$B$2002,C$2))</f>
        <v/>
      </c>
      <c r="D117" t="str">
        <f>IF(OR($A117="",D$2=""),"",SUMIFS('Sales Log'!$G$3:$G$2002,'Sales Log'!$A$3:$A$2002,$A117,'Sales Log'!$B$3:$B$2002,D$2))</f>
        <v/>
      </c>
      <c r="E117" t="str">
        <f>IF(OR($A117="",E$2=""),"",SUMIFS('Sales Log'!$G$3:$G$2002,'Sales Log'!$A$3:$A$2002,$A117,'Sales Log'!$B$3:$B$2002,E$2))</f>
        <v/>
      </c>
      <c r="F117" t="str">
        <f t="shared" si="1"/>
        <v/>
      </c>
    </row>
    <row r="118" spans="2:6">
      <c r="B118" t="str">
        <f>IF(OR($A118="",B$2=""),"",SUMIFS('Sales Log'!$G$3:$G$2002,'Sales Log'!$A$3:$A$2002,$A118,'Sales Log'!$B$3:$B$2002,B$2))</f>
        <v/>
      </c>
      <c r="C118" t="str">
        <f>IF(OR($A118="",C$2=""),"",SUMIFS('Sales Log'!$G$3:$G$2002,'Sales Log'!$A$3:$A$2002,$A118,'Sales Log'!$B$3:$B$2002,C$2))</f>
        <v/>
      </c>
      <c r="D118" t="str">
        <f>IF(OR($A118="",D$2=""),"",SUMIFS('Sales Log'!$G$3:$G$2002,'Sales Log'!$A$3:$A$2002,$A118,'Sales Log'!$B$3:$B$2002,D$2))</f>
        <v/>
      </c>
      <c r="E118" t="str">
        <f>IF(OR($A118="",E$2=""),"",SUMIFS('Sales Log'!$G$3:$G$2002,'Sales Log'!$A$3:$A$2002,$A118,'Sales Log'!$B$3:$B$2002,E$2))</f>
        <v/>
      </c>
      <c r="F118" t="str">
        <f t="shared" si="1"/>
        <v/>
      </c>
    </row>
    <row r="119" spans="2:6">
      <c r="B119" t="str">
        <f>IF(OR($A119="",B$2=""),"",SUMIFS('Sales Log'!$G$3:$G$2002,'Sales Log'!$A$3:$A$2002,$A119,'Sales Log'!$B$3:$B$2002,B$2))</f>
        <v/>
      </c>
      <c r="C119" t="str">
        <f>IF(OR($A119="",C$2=""),"",SUMIFS('Sales Log'!$G$3:$G$2002,'Sales Log'!$A$3:$A$2002,$A119,'Sales Log'!$B$3:$B$2002,C$2))</f>
        <v/>
      </c>
      <c r="D119" t="str">
        <f>IF(OR($A119="",D$2=""),"",SUMIFS('Sales Log'!$G$3:$G$2002,'Sales Log'!$A$3:$A$2002,$A119,'Sales Log'!$B$3:$B$2002,D$2))</f>
        <v/>
      </c>
      <c r="E119" t="str">
        <f>IF(OR($A119="",E$2=""),"",SUMIFS('Sales Log'!$G$3:$G$2002,'Sales Log'!$A$3:$A$2002,$A119,'Sales Log'!$B$3:$B$2002,E$2))</f>
        <v/>
      </c>
      <c r="F119" t="str">
        <f t="shared" si="1"/>
        <v/>
      </c>
    </row>
    <row r="120" spans="2:6">
      <c r="B120" t="str">
        <f>IF(OR($A120="",B$2=""),"",SUMIFS('Sales Log'!$G$3:$G$2002,'Sales Log'!$A$3:$A$2002,$A120,'Sales Log'!$B$3:$B$2002,B$2))</f>
        <v/>
      </c>
      <c r="C120" t="str">
        <f>IF(OR($A120="",C$2=""),"",SUMIFS('Sales Log'!$G$3:$G$2002,'Sales Log'!$A$3:$A$2002,$A120,'Sales Log'!$B$3:$B$2002,C$2))</f>
        <v/>
      </c>
      <c r="D120" t="str">
        <f>IF(OR($A120="",D$2=""),"",SUMIFS('Sales Log'!$G$3:$G$2002,'Sales Log'!$A$3:$A$2002,$A120,'Sales Log'!$B$3:$B$2002,D$2))</f>
        <v/>
      </c>
      <c r="E120" t="str">
        <f>IF(OR($A120="",E$2=""),"",SUMIFS('Sales Log'!$G$3:$G$2002,'Sales Log'!$A$3:$A$2002,$A120,'Sales Log'!$B$3:$B$2002,E$2))</f>
        <v/>
      </c>
      <c r="F120" t="str">
        <f t="shared" si="1"/>
        <v/>
      </c>
    </row>
    <row r="121" spans="2:6">
      <c r="B121" t="str">
        <f>IF(OR($A121="",B$2=""),"",SUMIFS('Sales Log'!$G$3:$G$2002,'Sales Log'!$A$3:$A$2002,$A121,'Sales Log'!$B$3:$B$2002,B$2))</f>
        <v/>
      </c>
      <c r="C121" t="str">
        <f>IF(OR($A121="",C$2=""),"",SUMIFS('Sales Log'!$G$3:$G$2002,'Sales Log'!$A$3:$A$2002,$A121,'Sales Log'!$B$3:$B$2002,C$2))</f>
        <v/>
      </c>
      <c r="D121" t="str">
        <f>IF(OR($A121="",D$2=""),"",SUMIFS('Sales Log'!$G$3:$G$2002,'Sales Log'!$A$3:$A$2002,$A121,'Sales Log'!$B$3:$B$2002,D$2))</f>
        <v/>
      </c>
      <c r="E121" t="str">
        <f>IF(OR($A121="",E$2=""),"",SUMIFS('Sales Log'!$G$3:$G$2002,'Sales Log'!$A$3:$A$2002,$A121,'Sales Log'!$B$3:$B$2002,E$2))</f>
        <v/>
      </c>
      <c r="F121" t="str">
        <f t="shared" si="1"/>
        <v/>
      </c>
    </row>
    <row r="122" spans="2:6">
      <c r="B122" t="str">
        <f>IF(OR($A122="",B$2=""),"",SUMIFS('Sales Log'!$G$3:$G$2002,'Sales Log'!$A$3:$A$2002,$A122,'Sales Log'!$B$3:$B$2002,B$2))</f>
        <v/>
      </c>
      <c r="C122" t="str">
        <f>IF(OR($A122="",C$2=""),"",SUMIFS('Sales Log'!$G$3:$G$2002,'Sales Log'!$A$3:$A$2002,$A122,'Sales Log'!$B$3:$B$2002,C$2))</f>
        <v/>
      </c>
      <c r="D122" t="str">
        <f>IF(OR($A122="",D$2=""),"",SUMIFS('Sales Log'!$G$3:$G$2002,'Sales Log'!$A$3:$A$2002,$A122,'Sales Log'!$B$3:$B$2002,D$2))</f>
        <v/>
      </c>
      <c r="E122" t="str">
        <f>IF(OR($A122="",E$2=""),"",SUMIFS('Sales Log'!$G$3:$G$2002,'Sales Log'!$A$3:$A$2002,$A122,'Sales Log'!$B$3:$B$2002,E$2))</f>
        <v/>
      </c>
      <c r="F122" t="str">
        <f t="shared" si="1"/>
        <v/>
      </c>
    </row>
    <row r="123" spans="2:6">
      <c r="B123" t="str">
        <f>IF(OR($A123="",B$2=""),"",SUMIFS('Sales Log'!$G$3:$G$2002,'Sales Log'!$A$3:$A$2002,$A123,'Sales Log'!$B$3:$B$2002,B$2))</f>
        <v/>
      </c>
      <c r="C123" t="str">
        <f>IF(OR($A123="",C$2=""),"",SUMIFS('Sales Log'!$G$3:$G$2002,'Sales Log'!$A$3:$A$2002,$A123,'Sales Log'!$B$3:$B$2002,C$2))</f>
        <v/>
      </c>
      <c r="D123" t="str">
        <f>IF(OR($A123="",D$2=""),"",SUMIFS('Sales Log'!$G$3:$G$2002,'Sales Log'!$A$3:$A$2002,$A123,'Sales Log'!$B$3:$B$2002,D$2))</f>
        <v/>
      </c>
      <c r="E123" t="str">
        <f>IF(OR($A123="",E$2=""),"",SUMIFS('Sales Log'!$G$3:$G$2002,'Sales Log'!$A$3:$A$2002,$A123,'Sales Log'!$B$3:$B$2002,E$2))</f>
        <v/>
      </c>
      <c r="F123" t="str">
        <f t="shared" si="1"/>
        <v/>
      </c>
    </row>
    <row r="124" spans="2:6">
      <c r="B124" t="str">
        <f>IF(OR($A124="",B$2=""),"",SUMIFS('Sales Log'!$G$3:$G$2002,'Sales Log'!$A$3:$A$2002,$A124,'Sales Log'!$B$3:$B$2002,B$2))</f>
        <v/>
      </c>
      <c r="C124" t="str">
        <f>IF(OR($A124="",C$2=""),"",SUMIFS('Sales Log'!$G$3:$G$2002,'Sales Log'!$A$3:$A$2002,$A124,'Sales Log'!$B$3:$B$2002,C$2))</f>
        <v/>
      </c>
      <c r="D124" t="str">
        <f>IF(OR($A124="",D$2=""),"",SUMIFS('Sales Log'!$G$3:$G$2002,'Sales Log'!$A$3:$A$2002,$A124,'Sales Log'!$B$3:$B$2002,D$2))</f>
        <v/>
      </c>
      <c r="E124" t="str">
        <f>IF(OR($A124="",E$2=""),"",SUMIFS('Sales Log'!$G$3:$G$2002,'Sales Log'!$A$3:$A$2002,$A124,'Sales Log'!$B$3:$B$2002,E$2))</f>
        <v/>
      </c>
      <c r="F124" t="str">
        <f t="shared" si="1"/>
        <v/>
      </c>
    </row>
    <row r="125" spans="2:6">
      <c r="B125" t="str">
        <f>IF(OR($A125="",B$2=""),"",SUMIFS('Sales Log'!$G$3:$G$2002,'Sales Log'!$A$3:$A$2002,$A125,'Sales Log'!$B$3:$B$2002,B$2))</f>
        <v/>
      </c>
      <c r="C125" t="str">
        <f>IF(OR($A125="",C$2=""),"",SUMIFS('Sales Log'!$G$3:$G$2002,'Sales Log'!$A$3:$A$2002,$A125,'Sales Log'!$B$3:$B$2002,C$2))</f>
        <v/>
      </c>
      <c r="D125" t="str">
        <f>IF(OR($A125="",D$2=""),"",SUMIFS('Sales Log'!$G$3:$G$2002,'Sales Log'!$A$3:$A$2002,$A125,'Sales Log'!$B$3:$B$2002,D$2))</f>
        <v/>
      </c>
      <c r="E125" t="str">
        <f>IF(OR($A125="",E$2=""),"",SUMIFS('Sales Log'!$G$3:$G$2002,'Sales Log'!$A$3:$A$2002,$A125,'Sales Log'!$B$3:$B$2002,E$2))</f>
        <v/>
      </c>
      <c r="F125" t="str">
        <f t="shared" si="1"/>
        <v/>
      </c>
    </row>
    <row r="126" spans="2:6">
      <c r="B126" t="str">
        <f>IF(OR($A126="",B$2=""),"",SUMIFS('Sales Log'!$G$3:$G$2002,'Sales Log'!$A$3:$A$2002,$A126,'Sales Log'!$B$3:$B$2002,B$2))</f>
        <v/>
      </c>
      <c r="C126" t="str">
        <f>IF(OR($A126="",C$2=""),"",SUMIFS('Sales Log'!$G$3:$G$2002,'Sales Log'!$A$3:$A$2002,$A126,'Sales Log'!$B$3:$B$2002,C$2))</f>
        <v/>
      </c>
      <c r="D126" t="str">
        <f>IF(OR($A126="",D$2=""),"",SUMIFS('Sales Log'!$G$3:$G$2002,'Sales Log'!$A$3:$A$2002,$A126,'Sales Log'!$B$3:$B$2002,D$2))</f>
        <v/>
      </c>
      <c r="E126" t="str">
        <f>IF(OR($A126="",E$2=""),"",SUMIFS('Sales Log'!$G$3:$G$2002,'Sales Log'!$A$3:$A$2002,$A126,'Sales Log'!$B$3:$B$2002,E$2))</f>
        <v/>
      </c>
      <c r="F126" t="str">
        <f t="shared" si="1"/>
        <v/>
      </c>
    </row>
    <row r="127" spans="2:6">
      <c r="B127" t="str">
        <f>IF(OR($A127="",B$2=""),"",SUMIFS('Sales Log'!$G$3:$G$2002,'Sales Log'!$A$3:$A$2002,$A127,'Sales Log'!$B$3:$B$2002,B$2))</f>
        <v/>
      </c>
      <c r="C127" t="str">
        <f>IF(OR($A127="",C$2=""),"",SUMIFS('Sales Log'!$G$3:$G$2002,'Sales Log'!$A$3:$A$2002,$A127,'Sales Log'!$B$3:$B$2002,C$2))</f>
        <v/>
      </c>
      <c r="D127" t="str">
        <f>IF(OR($A127="",D$2=""),"",SUMIFS('Sales Log'!$G$3:$G$2002,'Sales Log'!$A$3:$A$2002,$A127,'Sales Log'!$B$3:$B$2002,D$2))</f>
        <v/>
      </c>
      <c r="E127" t="str">
        <f>IF(OR($A127="",E$2=""),"",SUMIFS('Sales Log'!$G$3:$G$2002,'Sales Log'!$A$3:$A$2002,$A127,'Sales Log'!$B$3:$B$2002,E$2))</f>
        <v/>
      </c>
      <c r="F127" t="str">
        <f t="shared" si="1"/>
        <v/>
      </c>
    </row>
    <row r="128" spans="2:6">
      <c r="B128" t="str">
        <f>IF(OR($A128="",B$2=""),"",SUMIFS('Sales Log'!$G$3:$G$2002,'Sales Log'!$A$3:$A$2002,$A128,'Sales Log'!$B$3:$B$2002,B$2))</f>
        <v/>
      </c>
      <c r="C128" t="str">
        <f>IF(OR($A128="",C$2=""),"",SUMIFS('Sales Log'!$G$3:$G$2002,'Sales Log'!$A$3:$A$2002,$A128,'Sales Log'!$B$3:$B$2002,C$2))</f>
        <v/>
      </c>
      <c r="D128" t="str">
        <f>IF(OR($A128="",D$2=""),"",SUMIFS('Sales Log'!$G$3:$G$2002,'Sales Log'!$A$3:$A$2002,$A128,'Sales Log'!$B$3:$B$2002,D$2))</f>
        <v/>
      </c>
      <c r="E128" t="str">
        <f>IF(OR($A128="",E$2=""),"",SUMIFS('Sales Log'!$G$3:$G$2002,'Sales Log'!$A$3:$A$2002,$A128,'Sales Log'!$B$3:$B$2002,E$2))</f>
        <v/>
      </c>
      <c r="F128" t="str">
        <f t="shared" si="1"/>
        <v/>
      </c>
    </row>
    <row r="129" spans="2:6">
      <c r="B129" t="str">
        <f>IF(OR($A129="",B$2=""),"",SUMIFS('Sales Log'!$G$3:$G$2002,'Sales Log'!$A$3:$A$2002,$A129,'Sales Log'!$B$3:$B$2002,B$2))</f>
        <v/>
      </c>
      <c r="C129" t="str">
        <f>IF(OR($A129="",C$2=""),"",SUMIFS('Sales Log'!$G$3:$G$2002,'Sales Log'!$A$3:$A$2002,$A129,'Sales Log'!$B$3:$B$2002,C$2))</f>
        <v/>
      </c>
      <c r="D129" t="str">
        <f>IF(OR($A129="",D$2=""),"",SUMIFS('Sales Log'!$G$3:$G$2002,'Sales Log'!$A$3:$A$2002,$A129,'Sales Log'!$B$3:$B$2002,D$2))</f>
        <v/>
      </c>
      <c r="E129" t="str">
        <f>IF(OR($A129="",E$2=""),"",SUMIFS('Sales Log'!$G$3:$G$2002,'Sales Log'!$A$3:$A$2002,$A129,'Sales Log'!$B$3:$B$2002,E$2))</f>
        <v/>
      </c>
      <c r="F129" t="str">
        <f t="shared" si="1"/>
        <v/>
      </c>
    </row>
    <row r="130" spans="2:6">
      <c r="B130" t="str">
        <f>IF(OR($A130="",B$2=""),"",SUMIFS('Sales Log'!$G$3:$G$2002,'Sales Log'!$A$3:$A$2002,$A130,'Sales Log'!$B$3:$B$2002,B$2))</f>
        <v/>
      </c>
      <c r="C130" t="str">
        <f>IF(OR($A130="",C$2=""),"",SUMIFS('Sales Log'!$G$3:$G$2002,'Sales Log'!$A$3:$A$2002,$A130,'Sales Log'!$B$3:$B$2002,C$2))</f>
        <v/>
      </c>
      <c r="D130" t="str">
        <f>IF(OR($A130="",D$2=""),"",SUMIFS('Sales Log'!$G$3:$G$2002,'Sales Log'!$A$3:$A$2002,$A130,'Sales Log'!$B$3:$B$2002,D$2))</f>
        <v/>
      </c>
      <c r="E130" t="str">
        <f>IF(OR($A130="",E$2=""),"",SUMIFS('Sales Log'!$G$3:$G$2002,'Sales Log'!$A$3:$A$2002,$A130,'Sales Log'!$B$3:$B$2002,E$2))</f>
        <v/>
      </c>
      <c r="F130" t="str">
        <f t="shared" si="1"/>
        <v/>
      </c>
    </row>
    <row r="131" spans="2:6">
      <c r="B131" t="str">
        <f>IF(OR($A131="",B$2=""),"",SUMIFS('Sales Log'!$G$3:$G$2002,'Sales Log'!$A$3:$A$2002,$A131,'Sales Log'!$B$3:$B$2002,B$2))</f>
        <v/>
      </c>
      <c r="C131" t="str">
        <f>IF(OR($A131="",C$2=""),"",SUMIFS('Sales Log'!$G$3:$G$2002,'Sales Log'!$A$3:$A$2002,$A131,'Sales Log'!$B$3:$B$2002,C$2))</f>
        <v/>
      </c>
      <c r="D131" t="str">
        <f>IF(OR($A131="",D$2=""),"",SUMIFS('Sales Log'!$G$3:$G$2002,'Sales Log'!$A$3:$A$2002,$A131,'Sales Log'!$B$3:$B$2002,D$2))</f>
        <v/>
      </c>
      <c r="E131" t="str">
        <f>IF(OR($A131="",E$2=""),"",SUMIFS('Sales Log'!$G$3:$G$2002,'Sales Log'!$A$3:$A$2002,$A131,'Sales Log'!$B$3:$B$2002,E$2))</f>
        <v/>
      </c>
      <c r="F131" t="str">
        <f t="shared" ref="F131:F194" si="2">IF(A131="","",SUM(B131:E131))</f>
        <v/>
      </c>
    </row>
    <row r="132" spans="2:6">
      <c r="B132" t="str">
        <f>IF(OR($A132="",B$2=""),"",SUMIFS('Sales Log'!$G$3:$G$2002,'Sales Log'!$A$3:$A$2002,$A132,'Sales Log'!$B$3:$B$2002,B$2))</f>
        <v/>
      </c>
      <c r="C132" t="str">
        <f>IF(OR($A132="",C$2=""),"",SUMIFS('Sales Log'!$G$3:$G$2002,'Sales Log'!$A$3:$A$2002,$A132,'Sales Log'!$B$3:$B$2002,C$2))</f>
        <v/>
      </c>
      <c r="D132" t="str">
        <f>IF(OR($A132="",D$2=""),"",SUMIFS('Sales Log'!$G$3:$G$2002,'Sales Log'!$A$3:$A$2002,$A132,'Sales Log'!$B$3:$B$2002,D$2))</f>
        <v/>
      </c>
      <c r="E132" t="str">
        <f>IF(OR($A132="",E$2=""),"",SUMIFS('Sales Log'!$G$3:$G$2002,'Sales Log'!$A$3:$A$2002,$A132,'Sales Log'!$B$3:$B$2002,E$2))</f>
        <v/>
      </c>
      <c r="F132" t="str">
        <f t="shared" si="2"/>
        <v/>
      </c>
    </row>
    <row r="133" spans="2:6">
      <c r="B133" t="str">
        <f>IF(OR($A133="",B$2=""),"",SUMIFS('Sales Log'!$G$3:$G$2002,'Sales Log'!$A$3:$A$2002,$A133,'Sales Log'!$B$3:$B$2002,B$2))</f>
        <v/>
      </c>
      <c r="C133" t="str">
        <f>IF(OR($A133="",C$2=""),"",SUMIFS('Sales Log'!$G$3:$G$2002,'Sales Log'!$A$3:$A$2002,$A133,'Sales Log'!$B$3:$B$2002,C$2))</f>
        <v/>
      </c>
      <c r="D133" t="str">
        <f>IF(OR($A133="",D$2=""),"",SUMIFS('Sales Log'!$G$3:$G$2002,'Sales Log'!$A$3:$A$2002,$A133,'Sales Log'!$B$3:$B$2002,D$2))</f>
        <v/>
      </c>
      <c r="E133" t="str">
        <f>IF(OR($A133="",E$2=""),"",SUMIFS('Sales Log'!$G$3:$G$2002,'Sales Log'!$A$3:$A$2002,$A133,'Sales Log'!$B$3:$B$2002,E$2))</f>
        <v/>
      </c>
      <c r="F133" t="str">
        <f t="shared" si="2"/>
        <v/>
      </c>
    </row>
    <row r="134" spans="2:6">
      <c r="B134" t="str">
        <f>IF(OR($A134="",B$2=""),"",SUMIFS('Sales Log'!$G$3:$G$2002,'Sales Log'!$A$3:$A$2002,$A134,'Sales Log'!$B$3:$B$2002,B$2))</f>
        <v/>
      </c>
      <c r="C134" t="str">
        <f>IF(OR($A134="",C$2=""),"",SUMIFS('Sales Log'!$G$3:$G$2002,'Sales Log'!$A$3:$A$2002,$A134,'Sales Log'!$B$3:$B$2002,C$2))</f>
        <v/>
      </c>
      <c r="D134" t="str">
        <f>IF(OR($A134="",D$2=""),"",SUMIFS('Sales Log'!$G$3:$G$2002,'Sales Log'!$A$3:$A$2002,$A134,'Sales Log'!$B$3:$B$2002,D$2))</f>
        <v/>
      </c>
      <c r="E134" t="str">
        <f>IF(OR($A134="",E$2=""),"",SUMIFS('Sales Log'!$G$3:$G$2002,'Sales Log'!$A$3:$A$2002,$A134,'Sales Log'!$B$3:$B$2002,E$2))</f>
        <v/>
      </c>
      <c r="F134" t="str">
        <f t="shared" si="2"/>
        <v/>
      </c>
    </row>
    <row r="135" spans="2:6">
      <c r="B135" t="str">
        <f>IF(OR($A135="",B$2=""),"",SUMIFS('Sales Log'!$G$3:$G$2002,'Sales Log'!$A$3:$A$2002,$A135,'Sales Log'!$B$3:$B$2002,B$2))</f>
        <v/>
      </c>
      <c r="C135" t="str">
        <f>IF(OR($A135="",C$2=""),"",SUMIFS('Sales Log'!$G$3:$G$2002,'Sales Log'!$A$3:$A$2002,$A135,'Sales Log'!$B$3:$B$2002,C$2))</f>
        <v/>
      </c>
      <c r="D135" t="str">
        <f>IF(OR($A135="",D$2=""),"",SUMIFS('Sales Log'!$G$3:$G$2002,'Sales Log'!$A$3:$A$2002,$A135,'Sales Log'!$B$3:$B$2002,D$2))</f>
        <v/>
      </c>
      <c r="E135" t="str">
        <f>IF(OR($A135="",E$2=""),"",SUMIFS('Sales Log'!$G$3:$G$2002,'Sales Log'!$A$3:$A$2002,$A135,'Sales Log'!$B$3:$B$2002,E$2))</f>
        <v/>
      </c>
      <c r="F135" t="str">
        <f t="shared" si="2"/>
        <v/>
      </c>
    </row>
    <row r="136" spans="2:6">
      <c r="B136" t="str">
        <f>IF(OR($A136="",B$2=""),"",SUMIFS('Sales Log'!$G$3:$G$2002,'Sales Log'!$A$3:$A$2002,$A136,'Sales Log'!$B$3:$B$2002,B$2))</f>
        <v/>
      </c>
      <c r="C136" t="str">
        <f>IF(OR($A136="",C$2=""),"",SUMIFS('Sales Log'!$G$3:$G$2002,'Sales Log'!$A$3:$A$2002,$A136,'Sales Log'!$B$3:$B$2002,C$2))</f>
        <v/>
      </c>
      <c r="D136" t="str">
        <f>IF(OR($A136="",D$2=""),"",SUMIFS('Sales Log'!$G$3:$G$2002,'Sales Log'!$A$3:$A$2002,$A136,'Sales Log'!$B$3:$B$2002,D$2))</f>
        <v/>
      </c>
      <c r="E136" t="str">
        <f>IF(OR($A136="",E$2=""),"",SUMIFS('Sales Log'!$G$3:$G$2002,'Sales Log'!$A$3:$A$2002,$A136,'Sales Log'!$B$3:$B$2002,E$2))</f>
        <v/>
      </c>
      <c r="F136" t="str">
        <f t="shared" si="2"/>
        <v/>
      </c>
    </row>
    <row r="137" spans="2:6">
      <c r="B137" t="str">
        <f>IF(OR($A137="",B$2=""),"",SUMIFS('Sales Log'!$G$3:$G$2002,'Sales Log'!$A$3:$A$2002,$A137,'Sales Log'!$B$3:$B$2002,B$2))</f>
        <v/>
      </c>
      <c r="C137" t="str">
        <f>IF(OR($A137="",C$2=""),"",SUMIFS('Sales Log'!$G$3:$G$2002,'Sales Log'!$A$3:$A$2002,$A137,'Sales Log'!$B$3:$B$2002,C$2))</f>
        <v/>
      </c>
      <c r="D137" t="str">
        <f>IF(OR($A137="",D$2=""),"",SUMIFS('Sales Log'!$G$3:$G$2002,'Sales Log'!$A$3:$A$2002,$A137,'Sales Log'!$B$3:$B$2002,D$2))</f>
        <v/>
      </c>
      <c r="E137" t="str">
        <f>IF(OR($A137="",E$2=""),"",SUMIFS('Sales Log'!$G$3:$G$2002,'Sales Log'!$A$3:$A$2002,$A137,'Sales Log'!$B$3:$B$2002,E$2))</f>
        <v/>
      </c>
      <c r="F137" t="str">
        <f t="shared" si="2"/>
        <v/>
      </c>
    </row>
    <row r="138" spans="2:6">
      <c r="B138" t="str">
        <f>IF(OR($A138="",B$2=""),"",SUMIFS('Sales Log'!$G$3:$G$2002,'Sales Log'!$A$3:$A$2002,$A138,'Sales Log'!$B$3:$B$2002,B$2))</f>
        <v/>
      </c>
      <c r="C138" t="str">
        <f>IF(OR($A138="",C$2=""),"",SUMIFS('Sales Log'!$G$3:$G$2002,'Sales Log'!$A$3:$A$2002,$A138,'Sales Log'!$B$3:$B$2002,C$2))</f>
        <v/>
      </c>
      <c r="D138" t="str">
        <f>IF(OR($A138="",D$2=""),"",SUMIFS('Sales Log'!$G$3:$G$2002,'Sales Log'!$A$3:$A$2002,$A138,'Sales Log'!$B$3:$B$2002,D$2))</f>
        <v/>
      </c>
      <c r="E138" t="str">
        <f>IF(OR($A138="",E$2=""),"",SUMIFS('Sales Log'!$G$3:$G$2002,'Sales Log'!$A$3:$A$2002,$A138,'Sales Log'!$B$3:$B$2002,E$2))</f>
        <v/>
      </c>
      <c r="F138" t="str">
        <f t="shared" si="2"/>
        <v/>
      </c>
    </row>
    <row r="139" spans="2:6">
      <c r="B139" t="str">
        <f>IF(OR($A139="",B$2=""),"",SUMIFS('Sales Log'!$G$3:$G$2002,'Sales Log'!$A$3:$A$2002,$A139,'Sales Log'!$B$3:$B$2002,B$2))</f>
        <v/>
      </c>
      <c r="C139" t="str">
        <f>IF(OR($A139="",C$2=""),"",SUMIFS('Sales Log'!$G$3:$G$2002,'Sales Log'!$A$3:$A$2002,$A139,'Sales Log'!$B$3:$B$2002,C$2))</f>
        <v/>
      </c>
      <c r="D139" t="str">
        <f>IF(OR($A139="",D$2=""),"",SUMIFS('Sales Log'!$G$3:$G$2002,'Sales Log'!$A$3:$A$2002,$A139,'Sales Log'!$B$3:$B$2002,D$2))</f>
        <v/>
      </c>
      <c r="E139" t="str">
        <f>IF(OR($A139="",E$2=""),"",SUMIFS('Sales Log'!$G$3:$G$2002,'Sales Log'!$A$3:$A$2002,$A139,'Sales Log'!$B$3:$B$2002,E$2))</f>
        <v/>
      </c>
      <c r="F139" t="str">
        <f t="shared" si="2"/>
        <v/>
      </c>
    </row>
    <row r="140" spans="2:6">
      <c r="B140" t="str">
        <f>IF(OR($A140="",B$2=""),"",SUMIFS('Sales Log'!$G$3:$G$2002,'Sales Log'!$A$3:$A$2002,$A140,'Sales Log'!$B$3:$B$2002,B$2))</f>
        <v/>
      </c>
      <c r="C140" t="str">
        <f>IF(OR($A140="",C$2=""),"",SUMIFS('Sales Log'!$G$3:$G$2002,'Sales Log'!$A$3:$A$2002,$A140,'Sales Log'!$B$3:$B$2002,C$2))</f>
        <v/>
      </c>
      <c r="D140" t="str">
        <f>IF(OR($A140="",D$2=""),"",SUMIFS('Sales Log'!$G$3:$G$2002,'Sales Log'!$A$3:$A$2002,$A140,'Sales Log'!$B$3:$B$2002,D$2))</f>
        <v/>
      </c>
      <c r="E140" t="str">
        <f>IF(OR($A140="",E$2=""),"",SUMIFS('Sales Log'!$G$3:$G$2002,'Sales Log'!$A$3:$A$2002,$A140,'Sales Log'!$B$3:$B$2002,E$2))</f>
        <v/>
      </c>
      <c r="F140" t="str">
        <f t="shared" si="2"/>
        <v/>
      </c>
    </row>
    <row r="141" spans="2:6">
      <c r="B141" t="str">
        <f>IF(OR($A141="",B$2=""),"",SUMIFS('Sales Log'!$G$3:$G$2002,'Sales Log'!$A$3:$A$2002,$A141,'Sales Log'!$B$3:$B$2002,B$2))</f>
        <v/>
      </c>
      <c r="C141" t="str">
        <f>IF(OR($A141="",C$2=""),"",SUMIFS('Sales Log'!$G$3:$G$2002,'Sales Log'!$A$3:$A$2002,$A141,'Sales Log'!$B$3:$B$2002,C$2))</f>
        <v/>
      </c>
      <c r="D141" t="str">
        <f>IF(OR($A141="",D$2=""),"",SUMIFS('Sales Log'!$G$3:$G$2002,'Sales Log'!$A$3:$A$2002,$A141,'Sales Log'!$B$3:$B$2002,D$2))</f>
        <v/>
      </c>
      <c r="E141" t="str">
        <f>IF(OR($A141="",E$2=""),"",SUMIFS('Sales Log'!$G$3:$G$2002,'Sales Log'!$A$3:$A$2002,$A141,'Sales Log'!$B$3:$B$2002,E$2))</f>
        <v/>
      </c>
      <c r="F141" t="str">
        <f t="shared" si="2"/>
        <v/>
      </c>
    </row>
    <row r="142" spans="2:6">
      <c r="B142" t="str">
        <f>IF(OR($A142="",B$2=""),"",SUMIFS('Sales Log'!$G$3:$G$2002,'Sales Log'!$A$3:$A$2002,$A142,'Sales Log'!$B$3:$B$2002,B$2))</f>
        <v/>
      </c>
      <c r="C142" t="str">
        <f>IF(OR($A142="",C$2=""),"",SUMIFS('Sales Log'!$G$3:$G$2002,'Sales Log'!$A$3:$A$2002,$A142,'Sales Log'!$B$3:$B$2002,C$2))</f>
        <v/>
      </c>
      <c r="D142" t="str">
        <f>IF(OR($A142="",D$2=""),"",SUMIFS('Sales Log'!$G$3:$G$2002,'Sales Log'!$A$3:$A$2002,$A142,'Sales Log'!$B$3:$B$2002,D$2))</f>
        <v/>
      </c>
      <c r="E142" t="str">
        <f>IF(OR($A142="",E$2=""),"",SUMIFS('Sales Log'!$G$3:$G$2002,'Sales Log'!$A$3:$A$2002,$A142,'Sales Log'!$B$3:$B$2002,E$2))</f>
        <v/>
      </c>
      <c r="F142" t="str">
        <f t="shared" si="2"/>
        <v/>
      </c>
    </row>
    <row r="143" spans="2:6">
      <c r="B143" t="str">
        <f>IF(OR($A143="",B$2=""),"",SUMIFS('Sales Log'!$G$3:$G$2002,'Sales Log'!$A$3:$A$2002,$A143,'Sales Log'!$B$3:$B$2002,B$2))</f>
        <v/>
      </c>
      <c r="C143" t="str">
        <f>IF(OR($A143="",C$2=""),"",SUMIFS('Sales Log'!$G$3:$G$2002,'Sales Log'!$A$3:$A$2002,$A143,'Sales Log'!$B$3:$B$2002,C$2))</f>
        <v/>
      </c>
      <c r="D143" t="str">
        <f>IF(OR($A143="",D$2=""),"",SUMIFS('Sales Log'!$G$3:$G$2002,'Sales Log'!$A$3:$A$2002,$A143,'Sales Log'!$B$3:$B$2002,D$2))</f>
        <v/>
      </c>
      <c r="E143" t="str">
        <f>IF(OR($A143="",E$2=""),"",SUMIFS('Sales Log'!$G$3:$G$2002,'Sales Log'!$A$3:$A$2002,$A143,'Sales Log'!$B$3:$B$2002,E$2))</f>
        <v/>
      </c>
      <c r="F143" t="str">
        <f t="shared" si="2"/>
        <v/>
      </c>
    </row>
    <row r="144" spans="2:6">
      <c r="B144" t="str">
        <f>IF(OR($A144="",B$2=""),"",SUMIFS('Sales Log'!$G$3:$G$2002,'Sales Log'!$A$3:$A$2002,$A144,'Sales Log'!$B$3:$B$2002,B$2))</f>
        <v/>
      </c>
      <c r="C144" t="str">
        <f>IF(OR($A144="",C$2=""),"",SUMIFS('Sales Log'!$G$3:$G$2002,'Sales Log'!$A$3:$A$2002,$A144,'Sales Log'!$B$3:$B$2002,C$2))</f>
        <v/>
      </c>
      <c r="D144" t="str">
        <f>IF(OR($A144="",D$2=""),"",SUMIFS('Sales Log'!$G$3:$G$2002,'Sales Log'!$A$3:$A$2002,$A144,'Sales Log'!$B$3:$B$2002,D$2))</f>
        <v/>
      </c>
      <c r="E144" t="str">
        <f>IF(OR($A144="",E$2=""),"",SUMIFS('Sales Log'!$G$3:$G$2002,'Sales Log'!$A$3:$A$2002,$A144,'Sales Log'!$B$3:$B$2002,E$2))</f>
        <v/>
      </c>
      <c r="F144" t="str">
        <f t="shared" si="2"/>
        <v/>
      </c>
    </row>
    <row r="145" spans="2:6">
      <c r="B145" t="str">
        <f>IF(OR($A145="",B$2=""),"",SUMIFS('Sales Log'!$G$3:$G$2002,'Sales Log'!$A$3:$A$2002,$A145,'Sales Log'!$B$3:$B$2002,B$2))</f>
        <v/>
      </c>
      <c r="C145" t="str">
        <f>IF(OR($A145="",C$2=""),"",SUMIFS('Sales Log'!$G$3:$G$2002,'Sales Log'!$A$3:$A$2002,$A145,'Sales Log'!$B$3:$B$2002,C$2))</f>
        <v/>
      </c>
      <c r="D145" t="str">
        <f>IF(OR($A145="",D$2=""),"",SUMIFS('Sales Log'!$G$3:$G$2002,'Sales Log'!$A$3:$A$2002,$A145,'Sales Log'!$B$3:$B$2002,D$2))</f>
        <v/>
      </c>
      <c r="E145" t="str">
        <f>IF(OR($A145="",E$2=""),"",SUMIFS('Sales Log'!$G$3:$G$2002,'Sales Log'!$A$3:$A$2002,$A145,'Sales Log'!$B$3:$B$2002,E$2))</f>
        <v/>
      </c>
      <c r="F145" t="str">
        <f t="shared" si="2"/>
        <v/>
      </c>
    </row>
    <row r="146" spans="2:6">
      <c r="B146" t="str">
        <f>IF(OR($A146="",B$2=""),"",SUMIFS('Sales Log'!$G$3:$G$2002,'Sales Log'!$A$3:$A$2002,$A146,'Sales Log'!$B$3:$B$2002,B$2))</f>
        <v/>
      </c>
      <c r="C146" t="str">
        <f>IF(OR($A146="",C$2=""),"",SUMIFS('Sales Log'!$G$3:$G$2002,'Sales Log'!$A$3:$A$2002,$A146,'Sales Log'!$B$3:$B$2002,C$2))</f>
        <v/>
      </c>
      <c r="D146" t="str">
        <f>IF(OR($A146="",D$2=""),"",SUMIFS('Sales Log'!$G$3:$G$2002,'Sales Log'!$A$3:$A$2002,$A146,'Sales Log'!$B$3:$B$2002,D$2))</f>
        <v/>
      </c>
      <c r="E146" t="str">
        <f>IF(OR($A146="",E$2=""),"",SUMIFS('Sales Log'!$G$3:$G$2002,'Sales Log'!$A$3:$A$2002,$A146,'Sales Log'!$B$3:$B$2002,E$2))</f>
        <v/>
      </c>
      <c r="F146" t="str">
        <f t="shared" si="2"/>
        <v/>
      </c>
    </row>
    <row r="147" spans="2:6">
      <c r="B147" t="str">
        <f>IF(OR($A147="",B$2=""),"",SUMIFS('Sales Log'!$G$3:$G$2002,'Sales Log'!$A$3:$A$2002,$A147,'Sales Log'!$B$3:$B$2002,B$2))</f>
        <v/>
      </c>
      <c r="C147" t="str">
        <f>IF(OR($A147="",C$2=""),"",SUMIFS('Sales Log'!$G$3:$G$2002,'Sales Log'!$A$3:$A$2002,$A147,'Sales Log'!$B$3:$B$2002,C$2))</f>
        <v/>
      </c>
      <c r="D147" t="str">
        <f>IF(OR($A147="",D$2=""),"",SUMIFS('Sales Log'!$G$3:$G$2002,'Sales Log'!$A$3:$A$2002,$A147,'Sales Log'!$B$3:$B$2002,D$2))</f>
        <v/>
      </c>
      <c r="E147" t="str">
        <f>IF(OR($A147="",E$2=""),"",SUMIFS('Sales Log'!$G$3:$G$2002,'Sales Log'!$A$3:$A$2002,$A147,'Sales Log'!$B$3:$B$2002,E$2))</f>
        <v/>
      </c>
      <c r="F147" t="str">
        <f t="shared" si="2"/>
        <v/>
      </c>
    </row>
    <row r="148" spans="2:6">
      <c r="B148" t="str">
        <f>IF(OR($A148="",B$2=""),"",SUMIFS('Sales Log'!$G$3:$G$2002,'Sales Log'!$A$3:$A$2002,$A148,'Sales Log'!$B$3:$B$2002,B$2))</f>
        <v/>
      </c>
      <c r="C148" t="str">
        <f>IF(OR($A148="",C$2=""),"",SUMIFS('Sales Log'!$G$3:$G$2002,'Sales Log'!$A$3:$A$2002,$A148,'Sales Log'!$B$3:$B$2002,C$2))</f>
        <v/>
      </c>
      <c r="D148" t="str">
        <f>IF(OR($A148="",D$2=""),"",SUMIFS('Sales Log'!$G$3:$G$2002,'Sales Log'!$A$3:$A$2002,$A148,'Sales Log'!$B$3:$B$2002,D$2))</f>
        <v/>
      </c>
      <c r="E148" t="str">
        <f>IF(OR($A148="",E$2=""),"",SUMIFS('Sales Log'!$G$3:$G$2002,'Sales Log'!$A$3:$A$2002,$A148,'Sales Log'!$B$3:$B$2002,E$2))</f>
        <v/>
      </c>
      <c r="F148" t="str">
        <f t="shared" si="2"/>
        <v/>
      </c>
    </row>
    <row r="149" spans="2:6">
      <c r="B149" t="str">
        <f>IF(OR($A149="",B$2=""),"",SUMIFS('Sales Log'!$G$3:$G$2002,'Sales Log'!$A$3:$A$2002,$A149,'Sales Log'!$B$3:$B$2002,B$2))</f>
        <v/>
      </c>
      <c r="C149" t="str">
        <f>IF(OR($A149="",C$2=""),"",SUMIFS('Sales Log'!$G$3:$G$2002,'Sales Log'!$A$3:$A$2002,$A149,'Sales Log'!$B$3:$B$2002,C$2))</f>
        <v/>
      </c>
      <c r="D149" t="str">
        <f>IF(OR($A149="",D$2=""),"",SUMIFS('Sales Log'!$G$3:$G$2002,'Sales Log'!$A$3:$A$2002,$A149,'Sales Log'!$B$3:$B$2002,D$2))</f>
        <v/>
      </c>
      <c r="E149" t="str">
        <f>IF(OR($A149="",E$2=""),"",SUMIFS('Sales Log'!$G$3:$G$2002,'Sales Log'!$A$3:$A$2002,$A149,'Sales Log'!$B$3:$B$2002,E$2))</f>
        <v/>
      </c>
      <c r="F149" t="str">
        <f t="shared" si="2"/>
        <v/>
      </c>
    </row>
    <row r="150" spans="2:6">
      <c r="B150" t="str">
        <f>IF(OR($A150="",B$2=""),"",SUMIFS('Sales Log'!$G$3:$G$2002,'Sales Log'!$A$3:$A$2002,$A150,'Sales Log'!$B$3:$B$2002,B$2))</f>
        <v/>
      </c>
      <c r="C150" t="str">
        <f>IF(OR($A150="",C$2=""),"",SUMIFS('Sales Log'!$G$3:$G$2002,'Sales Log'!$A$3:$A$2002,$A150,'Sales Log'!$B$3:$B$2002,C$2))</f>
        <v/>
      </c>
      <c r="D150" t="str">
        <f>IF(OR($A150="",D$2=""),"",SUMIFS('Sales Log'!$G$3:$G$2002,'Sales Log'!$A$3:$A$2002,$A150,'Sales Log'!$B$3:$B$2002,D$2))</f>
        <v/>
      </c>
      <c r="E150" t="str">
        <f>IF(OR($A150="",E$2=""),"",SUMIFS('Sales Log'!$G$3:$G$2002,'Sales Log'!$A$3:$A$2002,$A150,'Sales Log'!$B$3:$B$2002,E$2))</f>
        <v/>
      </c>
      <c r="F150" t="str">
        <f t="shared" si="2"/>
        <v/>
      </c>
    </row>
    <row r="151" spans="2:6">
      <c r="B151" t="str">
        <f>IF(OR($A151="",B$2=""),"",SUMIFS('Sales Log'!$G$3:$G$2002,'Sales Log'!$A$3:$A$2002,$A151,'Sales Log'!$B$3:$B$2002,B$2))</f>
        <v/>
      </c>
      <c r="C151" t="str">
        <f>IF(OR($A151="",C$2=""),"",SUMIFS('Sales Log'!$G$3:$G$2002,'Sales Log'!$A$3:$A$2002,$A151,'Sales Log'!$B$3:$B$2002,C$2))</f>
        <v/>
      </c>
      <c r="D151" t="str">
        <f>IF(OR($A151="",D$2=""),"",SUMIFS('Sales Log'!$G$3:$G$2002,'Sales Log'!$A$3:$A$2002,$A151,'Sales Log'!$B$3:$B$2002,D$2))</f>
        <v/>
      </c>
      <c r="E151" t="str">
        <f>IF(OR($A151="",E$2=""),"",SUMIFS('Sales Log'!$G$3:$G$2002,'Sales Log'!$A$3:$A$2002,$A151,'Sales Log'!$B$3:$B$2002,E$2))</f>
        <v/>
      </c>
      <c r="F151" t="str">
        <f t="shared" si="2"/>
        <v/>
      </c>
    </row>
    <row r="152" spans="2:6">
      <c r="B152" t="str">
        <f>IF(OR($A152="",B$2=""),"",SUMIFS('Sales Log'!$G$3:$G$2002,'Sales Log'!$A$3:$A$2002,$A152,'Sales Log'!$B$3:$B$2002,B$2))</f>
        <v/>
      </c>
      <c r="C152" t="str">
        <f>IF(OR($A152="",C$2=""),"",SUMIFS('Sales Log'!$G$3:$G$2002,'Sales Log'!$A$3:$A$2002,$A152,'Sales Log'!$B$3:$B$2002,C$2))</f>
        <v/>
      </c>
      <c r="D152" t="str">
        <f>IF(OR($A152="",D$2=""),"",SUMIFS('Sales Log'!$G$3:$G$2002,'Sales Log'!$A$3:$A$2002,$A152,'Sales Log'!$B$3:$B$2002,D$2))</f>
        <v/>
      </c>
      <c r="E152" t="str">
        <f>IF(OR($A152="",E$2=""),"",SUMIFS('Sales Log'!$G$3:$G$2002,'Sales Log'!$A$3:$A$2002,$A152,'Sales Log'!$B$3:$B$2002,E$2))</f>
        <v/>
      </c>
      <c r="F152" t="str">
        <f t="shared" si="2"/>
        <v/>
      </c>
    </row>
    <row r="153" spans="2:6">
      <c r="B153" t="str">
        <f>IF(OR($A153="",B$2=""),"",SUMIFS('Sales Log'!$G$3:$G$2002,'Sales Log'!$A$3:$A$2002,$A153,'Sales Log'!$B$3:$B$2002,B$2))</f>
        <v/>
      </c>
      <c r="C153" t="str">
        <f>IF(OR($A153="",C$2=""),"",SUMIFS('Sales Log'!$G$3:$G$2002,'Sales Log'!$A$3:$A$2002,$A153,'Sales Log'!$B$3:$B$2002,C$2))</f>
        <v/>
      </c>
      <c r="D153" t="str">
        <f>IF(OR($A153="",D$2=""),"",SUMIFS('Sales Log'!$G$3:$G$2002,'Sales Log'!$A$3:$A$2002,$A153,'Sales Log'!$B$3:$B$2002,D$2))</f>
        <v/>
      </c>
      <c r="E153" t="str">
        <f>IF(OR($A153="",E$2=""),"",SUMIFS('Sales Log'!$G$3:$G$2002,'Sales Log'!$A$3:$A$2002,$A153,'Sales Log'!$B$3:$B$2002,E$2))</f>
        <v/>
      </c>
      <c r="F153" t="str">
        <f t="shared" si="2"/>
        <v/>
      </c>
    </row>
    <row r="154" spans="2:6">
      <c r="B154" t="str">
        <f>IF(OR($A154="",B$2=""),"",SUMIFS('Sales Log'!$G$3:$G$2002,'Sales Log'!$A$3:$A$2002,$A154,'Sales Log'!$B$3:$B$2002,B$2))</f>
        <v/>
      </c>
      <c r="C154" t="str">
        <f>IF(OR($A154="",C$2=""),"",SUMIFS('Sales Log'!$G$3:$G$2002,'Sales Log'!$A$3:$A$2002,$A154,'Sales Log'!$B$3:$B$2002,C$2))</f>
        <v/>
      </c>
      <c r="D154" t="str">
        <f>IF(OR($A154="",D$2=""),"",SUMIFS('Sales Log'!$G$3:$G$2002,'Sales Log'!$A$3:$A$2002,$A154,'Sales Log'!$B$3:$B$2002,D$2))</f>
        <v/>
      </c>
      <c r="E154" t="str">
        <f>IF(OR($A154="",E$2=""),"",SUMIFS('Sales Log'!$G$3:$G$2002,'Sales Log'!$A$3:$A$2002,$A154,'Sales Log'!$B$3:$B$2002,E$2))</f>
        <v/>
      </c>
      <c r="F154" t="str">
        <f t="shared" si="2"/>
        <v/>
      </c>
    </row>
    <row r="155" spans="2:6">
      <c r="B155" t="str">
        <f>IF(OR($A155="",B$2=""),"",SUMIFS('Sales Log'!$G$3:$G$2002,'Sales Log'!$A$3:$A$2002,$A155,'Sales Log'!$B$3:$B$2002,B$2))</f>
        <v/>
      </c>
      <c r="C155" t="str">
        <f>IF(OR($A155="",C$2=""),"",SUMIFS('Sales Log'!$G$3:$G$2002,'Sales Log'!$A$3:$A$2002,$A155,'Sales Log'!$B$3:$B$2002,C$2))</f>
        <v/>
      </c>
      <c r="D155" t="str">
        <f>IF(OR($A155="",D$2=""),"",SUMIFS('Sales Log'!$G$3:$G$2002,'Sales Log'!$A$3:$A$2002,$A155,'Sales Log'!$B$3:$B$2002,D$2))</f>
        <v/>
      </c>
      <c r="E155" t="str">
        <f>IF(OR($A155="",E$2=""),"",SUMIFS('Sales Log'!$G$3:$G$2002,'Sales Log'!$A$3:$A$2002,$A155,'Sales Log'!$B$3:$B$2002,E$2))</f>
        <v/>
      </c>
      <c r="F155" t="str">
        <f t="shared" si="2"/>
        <v/>
      </c>
    </row>
    <row r="156" spans="2:6">
      <c r="B156" t="str">
        <f>IF(OR($A156="",B$2=""),"",SUMIFS('Sales Log'!$G$3:$G$2002,'Sales Log'!$A$3:$A$2002,$A156,'Sales Log'!$B$3:$B$2002,B$2))</f>
        <v/>
      </c>
      <c r="C156" t="str">
        <f>IF(OR($A156="",C$2=""),"",SUMIFS('Sales Log'!$G$3:$G$2002,'Sales Log'!$A$3:$A$2002,$A156,'Sales Log'!$B$3:$B$2002,C$2))</f>
        <v/>
      </c>
      <c r="D156" t="str">
        <f>IF(OR($A156="",D$2=""),"",SUMIFS('Sales Log'!$G$3:$G$2002,'Sales Log'!$A$3:$A$2002,$A156,'Sales Log'!$B$3:$B$2002,D$2))</f>
        <v/>
      </c>
      <c r="E156" t="str">
        <f>IF(OR($A156="",E$2=""),"",SUMIFS('Sales Log'!$G$3:$G$2002,'Sales Log'!$A$3:$A$2002,$A156,'Sales Log'!$B$3:$B$2002,E$2))</f>
        <v/>
      </c>
      <c r="F156" t="str">
        <f t="shared" si="2"/>
        <v/>
      </c>
    </row>
    <row r="157" spans="2:6">
      <c r="B157" t="str">
        <f>IF(OR($A157="",B$2=""),"",SUMIFS('Sales Log'!$G$3:$G$2002,'Sales Log'!$A$3:$A$2002,$A157,'Sales Log'!$B$3:$B$2002,B$2))</f>
        <v/>
      </c>
      <c r="C157" t="str">
        <f>IF(OR($A157="",C$2=""),"",SUMIFS('Sales Log'!$G$3:$G$2002,'Sales Log'!$A$3:$A$2002,$A157,'Sales Log'!$B$3:$B$2002,C$2))</f>
        <v/>
      </c>
      <c r="D157" t="str">
        <f>IF(OR($A157="",D$2=""),"",SUMIFS('Sales Log'!$G$3:$G$2002,'Sales Log'!$A$3:$A$2002,$A157,'Sales Log'!$B$3:$B$2002,D$2))</f>
        <v/>
      </c>
      <c r="E157" t="str">
        <f>IF(OR($A157="",E$2=""),"",SUMIFS('Sales Log'!$G$3:$G$2002,'Sales Log'!$A$3:$A$2002,$A157,'Sales Log'!$B$3:$B$2002,E$2))</f>
        <v/>
      </c>
      <c r="F157" t="str">
        <f t="shared" si="2"/>
        <v/>
      </c>
    </row>
    <row r="158" spans="2:6">
      <c r="B158" t="str">
        <f>IF(OR($A158="",B$2=""),"",SUMIFS('Sales Log'!$G$3:$G$2002,'Sales Log'!$A$3:$A$2002,$A158,'Sales Log'!$B$3:$B$2002,B$2))</f>
        <v/>
      </c>
      <c r="C158" t="str">
        <f>IF(OR($A158="",C$2=""),"",SUMIFS('Sales Log'!$G$3:$G$2002,'Sales Log'!$A$3:$A$2002,$A158,'Sales Log'!$B$3:$B$2002,C$2))</f>
        <v/>
      </c>
      <c r="D158" t="str">
        <f>IF(OR($A158="",D$2=""),"",SUMIFS('Sales Log'!$G$3:$G$2002,'Sales Log'!$A$3:$A$2002,$A158,'Sales Log'!$B$3:$B$2002,D$2))</f>
        <v/>
      </c>
      <c r="E158" t="str">
        <f>IF(OR($A158="",E$2=""),"",SUMIFS('Sales Log'!$G$3:$G$2002,'Sales Log'!$A$3:$A$2002,$A158,'Sales Log'!$B$3:$B$2002,E$2))</f>
        <v/>
      </c>
      <c r="F158" t="str">
        <f t="shared" si="2"/>
        <v/>
      </c>
    </row>
    <row r="159" spans="2:6">
      <c r="B159" t="str">
        <f>IF(OR($A159="",B$2=""),"",SUMIFS('Sales Log'!$G$3:$G$2002,'Sales Log'!$A$3:$A$2002,$A159,'Sales Log'!$B$3:$B$2002,B$2))</f>
        <v/>
      </c>
      <c r="C159" t="str">
        <f>IF(OR($A159="",C$2=""),"",SUMIFS('Sales Log'!$G$3:$G$2002,'Sales Log'!$A$3:$A$2002,$A159,'Sales Log'!$B$3:$B$2002,C$2))</f>
        <v/>
      </c>
      <c r="D159" t="str">
        <f>IF(OR($A159="",D$2=""),"",SUMIFS('Sales Log'!$G$3:$G$2002,'Sales Log'!$A$3:$A$2002,$A159,'Sales Log'!$B$3:$B$2002,D$2))</f>
        <v/>
      </c>
      <c r="E159" t="str">
        <f>IF(OR($A159="",E$2=""),"",SUMIFS('Sales Log'!$G$3:$G$2002,'Sales Log'!$A$3:$A$2002,$A159,'Sales Log'!$B$3:$B$2002,E$2))</f>
        <v/>
      </c>
      <c r="F159" t="str">
        <f t="shared" si="2"/>
        <v/>
      </c>
    </row>
    <row r="160" spans="2:6">
      <c r="B160" t="str">
        <f>IF(OR($A160="",B$2=""),"",SUMIFS('Sales Log'!$G$3:$G$2002,'Sales Log'!$A$3:$A$2002,$A160,'Sales Log'!$B$3:$B$2002,B$2))</f>
        <v/>
      </c>
      <c r="C160" t="str">
        <f>IF(OR($A160="",C$2=""),"",SUMIFS('Sales Log'!$G$3:$G$2002,'Sales Log'!$A$3:$A$2002,$A160,'Sales Log'!$B$3:$B$2002,C$2))</f>
        <v/>
      </c>
      <c r="D160" t="str">
        <f>IF(OR($A160="",D$2=""),"",SUMIFS('Sales Log'!$G$3:$G$2002,'Sales Log'!$A$3:$A$2002,$A160,'Sales Log'!$B$3:$B$2002,D$2))</f>
        <v/>
      </c>
      <c r="E160" t="str">
        <f>IF(OR($A160="",E$2=""),"",SUMIFS('Sales Log'!$G$3:$G$2002,'Sales Log'!$A$3:$A$2002,$A160,'Sales Log'!$B$3:$B$2002,E$2))</f>
        <v/>
      </c>
      <c r="F160" t="str">
        <f t="shared" si="2"/>
        <v/>
      </c>
    </row>
    <row r="161" spans="2:6">
      <c r="B161" t="str">
        <f>IF(OR($A161="",B$2=""),"",SUMIFS('Sales Log'!$G$3:$G$2002,'Sales Log'!$A$3:$A$2002,$A161,'Sales Log'!$B$3:$B$2002,B$2))</f>
        <v/>
      </c>
      <c r="C161" t="str">
        <f>IF(OR($A161="",C$2=""),"",SUMIFS('Sales Log'!$G$3:$G$2002,'Sales Log'!$A$3:$A$2002,$A161,'Sales Log'!$B$3:$B$2002,C$2))</f>
        <v/>
      </c>
      <c r="D161" t="str">
        <f>IF(OR($A161="",D$2=""),"",SUMIFS('Sales Log'!$G$3:$G$2002,'Sales Log'!$A$3:$A$2002,$A161,'Sales Log'!$B$3:$B$2002,D$2))</f>
        <v/>
      </c>
      <c r="E161" t="str">
        <f>IF(OR($A161="",E$2=""),"",SUMIFS('Sales Log'!$G$3:$G$2002,'Sales Log'!$A$3:$A$2002,$A161,'Sales Log'!$B$3:$B$2002,E$2))</f>
        <v/>
      </c>
      <c r="F161" t="str">
        <f t="shared" si="2"/>
        <v/>
      </c>
    </row>
    <row r="162" spans="2:6">
      <c r="B162" t="str">
        <f>IF(OR($A162="",B$2=""),"",SUMIFS('Sales Log'!$G$3:$G$2002,'Sales Log'!$A$3:$A$2002,$A162,'Sales Log'!$B$3:$B$2002,B$2))</f>
        <v/>
      </c>
      <c r="C162" t="str">
        <f>IF(OR($A162="",C$2=""),"",SUMIFS('Sales Log'!$G$3:$G$2002,'Sales Log'!$A$3:$A$2002,$A162,'Sales Log'!$B$3:$B$2002,C$2))</f>
        <v/>
      </c>
      <c r="D162" t="str">
        <f>IF(OR($A162="",D$2=""),"",SUMIFS('Sales Log'!$G$3:$G$2002,'Sales Log'!$A$3:$A$2002,$A162,'Sales Log'!$B$3:$B$2002,D$2))</f>
        <v/>
      </c>
      <c r="E162" t="str">
        <f>IF(OR($A162="",E$2=""),"",SUMIFS('Sales Log'!$G$3:$G$2002,'Sales Log'!$A$3:$A$2002,$A162,'Sales Log'!$B$3:$B$2002,E$2))</f>
        <v/>
      </c>
      <c r="F162" t="str">
        <f t="shared" si="2"/>
        <v/>
      </c>
    </row>
    <row r="163" spans="2:6">
      <c r="B163" t="str">
        <f>IF(OR($A163="",B$2=""),"",SUMIFS('Sales Log'!$G$3:$G$2002,'Sales Log'!$A$3:$A$2002,$A163,'Sales Log'!$B$3:$B$2002,B$2))</f>
        <v/>
      </c>
      <c r="C163" t="str">
        <f>IF(OR($A163="",C$2=""),"",SUMIFS('Sales Log'!$G$3:$G$2002,'Sales Log'!$A$3:$A$2002,$A163,'Sales Log'!$B$3:$B$2002,C$2))</f>
        <v/>
      </c>
      <c r="D163" t="str">
        <f>IF(OR($A163="",D$2=""),"",SUMIFS('Sales Log'!$G$3:$G$2002,'Sales Log'!$A$3:$A$2002,$A163,'Sales Log'!$B$3:$B$2002,D$2))</f>
        <v/>
      </c>
      <c r="E163" t="str">
        <f>IF(OR($A163="",E$2=""),"",SUMIFS('Sales Log'!$G$3:$G$2002,'Sales Log'!$A$3:$A$2002,$A163,'Sales Log'!$B$3:$B$2002,E$2))</f>
        <v/>
      </c>
      <c r="F163" t="str">
        <f t="shared" si="2"/>
        <v/>
      </c>
    </row>
    <row r="164" spans="2:6">
      <c r="B164" t="str">
        <f>IF(OR($A164="",B$2=""),"",SUMIFS('Sales Log'!$G$3:$G$2002,'Sales Log'!$A$3:$A$2002,$A164,'Sales Log'!$B$3:$B$2002,B$2))</f>
        <v/>
      </c>
      <c r="C164" t="str">
        <f>IF(OR($A164="",C$2=""),"",SUMIFS('Sales Log'!$G$3:$G$2002,'Sales Log'!$A$3:$A$2002,$A164,'Sales Log'!$B$3:$B$2002,C$2))</f>
        <v/>
      </c>
      <c r="D164" t="str">
        <f>IF(OR($A164="",D$2=""),"",SUMIFS('Sales Log'!$G$3:$G$2002,'Sales Log'!$A$3:$A$2002,$A164,'Sales Log'!$B$3:$B$2002,D$2))</f>
        <v/>
      </c>
      <c r="E164" t="str">
        <f>IF(OR($A164="",E$2=""),"",SUMIFS('Sales Log'!$G$3:$G$2002,'Sales Log'!$A$3:$A$2002,$A164,'Sales Log'!$B$3:$B$2002,E$2))</f>
        <v/>
      </c>
      <c r="F164" t="str">
        <f t="shared" si="2"/>
        <v/>
      </c>
    </row>
    <row r="165" spans="2:6">
      <c r="B165" t="str">
        <f>IF(OR($A165="",B$2=""),"",SUMIFS('Sales Log'!$G$3:$G$2002,'Sales Log'!$A$3:$A$2002,$A165,'Sales Log'!$B$3:$B$2002,B$2))</f>
        <v/>
      </c>
      <c r="C165" t="str">
        <f>IF(OR($A165="",C$2=""),"",SUMIFS('Sales Log'!$G$3:$G$2002,'Sales Log'!$A$3:$A$2002,$A165,'Sales Log'!$B$3:$B$2002,C$2))</f>
        <v/>
      </c>
      <c r="D165" t="str">
        <f>IF(OR($A165="",D$2=""),"",SUMIFS('Sales Log'!$G$3:$G$2002,'Sales Log'!$A$3:$A$2002,$A165,'Sales Log'!$B$3:$B$2002,D$2))</f>
        <v/>
      </c>
      <c r="E165" t="str">
        <f>IF(OR($A165="",E$2=""),"",SUMIFS('Sales Log'!$G$3:$G$2002,'Sales Log'!$A$3:$A$2002,$A165,'Sales Log'!$B$3:$B$2002,E$2))</f>
        <v/>
      </c>
      <c r="F165" t="str">
        <f t="shared" si="2"/>
        <v/>
      </c>
    </row>
    <row r="166" spans="2:6">
      <c r="B166" t="str">
        <f>IF(OR($A166="",B$2=""),"",SUMIFS('Sales Log'!$G$3:$G$2002,'Sales Log'!$A$3:$A$2002,$A166,'Sales Log'!$B$3:$B$2002,B$2))</f>
        <v/>
      </c>
      <c r="C166" t="str">
        <f>IF(OR($A166="",C$2=""),"",SUMIFS('Sales Log'!$G$3:$G$2002,'Sales Log'!$A$3:$A$2002,$A166,'Sales Log'!$B$3:$B$2002,C$2))</f>
        <v/>
      </c>
      <c r="D166" t="str">
        <f>IF(OR($A166="",D$2=""),"",SUMIFS('Sales Log'!$G$3:$G$2002,'Sales Log'!$A$3:$A$2002,$A166,'Sales Log'!$B$3:$B$2002,D$2))</f>
        <v/>
      </c>
      <c r="E166" t="str">
        <f>IF(OR($A166="",E$2=""),"",SUMIFS('Sales Log'!$G$3:$G$2002,'Sales Log'!$A$3:$A$2002,$A166,'Sales Log'!$B$3:$B$2002,E$2))</f>
        <v/>
      </c>
      <c r="F166" t="str">
        <f t="shared" si="2"/>
        <v/>
      </c>
    </row>
    <row r="167" spans="2:6">
      <c r="B167" t="str">
        <f>IF(OR($A167="",B$2=""),"",SUMIFS('Sales Log'!$G$3:$G$2002,'Sales Log'!$A$3:$A$2002,$A167,'Sales Log'!$B$3:$B$2002,B$2))</f>
        <v/>
      </c>
      <c r="C167" t="str">
        <f>IF(OR($A167="",C$2=""),"",SUMIFS('Sales Log'!$G$3:$G$2002,'Sales Log'!$A$3:$A$2002,$A167,'Sales Log'!$B$3:$B$2002,C$2))</f>
        <v/>
      </c>
      <c r="D167" t="str">
        <f>IF(OR($A167="",D$2=""),"",SUMIFS('Sales Log'!$G$3:$G$2002,'Sales Log'!$A$3:$A$2002,$A167,'Sales Log'!$B$3:$B$2002,D$2))</f>
        <v/>
      </c>
      <c r="E167" t="str">
        <f>IF(OR($A167="",E$2=""),"",SUMIFS('Sales Log'!$G$3:$G$2002,'Sales Log'!$A$3:$A$2002,$A167,'Sales Log'!$B$3:$B$2002,E$2))</f>
        <v/>
      </c>
      <c r="F167" t="str">
        <f t="shared" si="2"/>
        <v/>
      </c>
    </row>
    <row r="168" spans="2:6">
      <c r="B168" t="str">
        <f>IF(OR($A168="",B$2=""),"",SUMIFS('Sales Log'!$G$3:$G$2002,'Sales Log'!$A$3:$A$2002,$A168,'Sales Log'!$B$3:$B$2002,B$2))</f>
        <v/>
      </c>
      <c r="C168" t="str">
        <f>IF(OR($A168="",C$2=""),"",SUMIFS('Sales Log'!$G$3:$G$2002,'Sales Log'!$A$3:$A$2002,$A168,'Sales Log'!$B$3:$B$2002,C$2))</f>
        <v/>
      </c>
      <c r="D168" t="str">
        <f>IF(OR($A168="",D$2=""),"",SUMIFS('Sales Log'!$G$3:$G$2002,'Sales Log'!$A$3:$A$2002,$A168,'Sales Log'!$B$3:$B$2002,D$2))</f>
        <v/>
      </c>
      <c r="E168" t="str">
        <f>IF(OR($A168="",E$2=""),"",SUMIFS('Sales Log'!$G$3:$G$2002,'Sales Log'!$A$3:$A$2002,$A168,'Sales Log'!$B$3:$B$2002,E$2))</f>
        <v/>
      </c>
      <c r="F168" t="str">
        <f t="shared" si="2"/>
        <v/>
      </c>
    </row>
    <row r="169" spans="2:6">
      <c r="B169" t="str">
        <f>IF(OR($A169="",B$2=""),"",SUMIFS('Sales Log'!$G$3:$G$2002,'Sales Log'!$A$3:$A$2002,$A169,'Sales Log'!$B$3:$B$2002,B$2))</f>
        <v/>
      </c>
      <c r="C169" t="str">
        <f>IF(OR($A169="",C$2=""),"",SUMIFS('Sales Log'!$G$3:$G$2002,'Sales Log'!$A$3:$A$2002,$A169,'Sales Log'!$B$3:$B$2002,C$2))</f>
        <v/>
      </c>
      <c r="D169" t="str">
        <f>IF(OR($A169="",D$2=""),"",SUMIFS('Sales Log'!$G$3:$G$2002,'Sales Log'!$A$3:$A$2002,$A169,'Sales Log'!$B$3:$B$2002,D$2))</f>
        <v/>
      </c>
      <c r="E169" t="str">
        <f>IF(OR($A169="",E$2=""),"",SUMIFS('Sales Log'!$G$3:$G$2002,'Sales Log'!$A$3:$A$2002,$A169,'Sales Log'!$B$3:$B$2002,E$2))</f>
        <v/>
      </c>
      <c r="F169" t="str">
        <f t="shared" si="2"/>
        <v/>
      </c>
    </row>
    <row r="170" spans="2:6">
      <c r="B170" t="str">
        <f>IF(OR($A170="",B$2=""),"",SUMIFS('Sales Log'!$G$3:$G$2002,'Sales Log'!$A$3:$A$2002,$A170,'Sales Log'!$B$3:$B$2002,B$2))</f>
        <v/>
      </c>
      <c r="C170" t="str">
        <f>IF(OR($A170="",C$2=""),"",SUMIFS('Sales Log'!$G$3:$G$2002,'Sales Log'!$A$3:$A$2002,$A170,'Sales Log'!$B$3:$B$2002,C$2))</f>
        <v/>
      </c>
      <c r="D170" t="str">
        <f>IF(OR($A170="",D$2=""),"",SUMIFS('Sales Log'!$G$3:$G$2002,'Sales Log'!$A$3:$A$2002,$A170,'Sales Log'!$B$3:$B$2002,D$2))</f>
        <v/>
      </c>
      <c r="E170" t="str">
        <f>IF(OR($A170="",E$2=""),"",SUMIFS('Sales Log'!$G$3:$G$2002,'Sales Log'!$A$3:$A$2002,$A170,'Sales Log'!$B$3:$B$2002,E$2))</f>
        <v/>
      </c>
      <c r="F170" t="str">
        <f t="shared" si="2"/>
        <v/>
      </c>
    </row>
    <row r="171" spans="2:6">
      <c r="B171" t="str">
        <f>IF(OR($A171="",B$2=""),"",SUMIFS('Sales Log'!$G$3:$G$2002,'Sales Log'!$A$3:$A$2002,$A171,'Sales Log'!$B$3:$B$2002,B$2))</f>
        <v/>
      </c>
      <c r="C171" t="str">
        <f>IF(OR($A171="",C$2=""),"",SUMIFS('Sales Log'!$G$3:$G$2002,'Sales Log'!$A$3:$A$2002,$A171,'Sales Log'!$B$3:$B$2002,C$2))</f>
        <v/>
      </c>
      <c r="D171" t="str">
        <f>IF(OR($A171="",D$2=""),"",SUMIFS('Sales Log'!$G$3:$G$2002,'Sales Log'!$A$3:$A$2002,$A171,'Sales Log'!$B$3:$B$2002,D$2))</f>
        <v/>
      </c>
      <c r="E171" t="str">
        <f>IF(OR($A171="",E$2=""),"",SUMIFS('Sales Log'!$G$3:$G$2002,'Sales Log'!$A$3:$A$2002,$A171,'Sales Log'!$B$3:$B$2002,E$2))</f>
        <v/>
      </c>
      <c r="F171" t="str">
        <f t="shared" si="2"/>
        <v/>
      </c>
    </row>
    <row r="172" spans="2:6">
      <c r="B172" t="str">
        <f>IF(OR($A172="",B$2=""),"",SUMIFS('Sales Log'!$G$3:$G$2002,'Sales Log'!$A$3:$A$2002,$A172,'Sales Log'!$B$3:$B$2002,B$2))</f>
        <v/>
      </c>
      <c r="C172" t="str">
        <f>IF(OR($A172="",C$2=""),"",SUMIFS('Sales Log'!$G$3:$G$2002,'Sales Log'!$A$3:$A$2002,$A172,'Sales Log'!$B$3:$B$2002,C$2))</f>
        <v/>
      </c>
      <c r="D172" t="str">
        <f>IF(OR($A172="",D$2=""),"",SUMIFS('Sales Log'!$G$3:$G$2002,'Sales Log'!$A$3:$A$2002,$A172,'Sales Log'!$B$3:$B$2002,D$2))</f>
        <v/>
      </c>
      <c r="E172" t="str">
        <f>IF(OR($A172="",E$2=""),"",SUMIFS('Sales Log'!$G$3:$G$2002,'Sales Log'!$A$3:$A$2002,$A172,'Sales Log'!$B$3:$B$2002,E$2))</f>
        <v/>
      </c>
      <c r="F172" t="str">
        <f t="shared" si="2"/>
        <v/>
      </c>
    </row>
    <row r="173" spans="2:6">
      <c r="B173" t="str">
        <f>IF(OR($A173="",B$2=""),"",SUMIFS('Sales Log'!$G$3:$G$2002,'Sales Log'!$A$3:$A$2002,$A173,'Sales Log'!$B$3:$B$2002,B$2))</f>
        <v/>
      </c>
      <c r="C173" t="str">
        <f>IF(OR($A173="",C$2=""),"",SUMIFS('Sales Log'!$G$3:$G$2002,'Sales Log'!$A$3:$A$2002,$A173,'Sales Log'!$B$3:$B$2002,C$2))</f>
        <v/>
      </c>
      <c r="D173" t="str">
        <f>IF(OR($A173="",D$2=""),"",SUMIFS('Sales Log'!$G$3:$G$2002,'Sales Log'!$A$3:$A$2002,$A173,'Sales Log'!$B$3:$B$2002,D$2))</f>
        <v/>
      </c>
      <c r="E173" t="str">
        <f>IF(OR($A173="",E$2=""),"",SUMIFS('Sales Log'!$G$3:$G$2002,'Sales Log'!$A$3:$A$2002,$A173,'Sales Log'!$B$3:$B$2002,E$2))</f>
        <v/>
      </c>
      <c r="F173" t="str">
        <f t="shared" si="2"/>
        <v/>
      </c>
    </row>
    <row r="174" spans="2:6">
      <c r="B174" t="str">
        <f>IF(OR($A174="",B$2=""),"",SUMIFS('Sales Log'!$G$3:$G$2002,'Sales Log'!$A$3:$A$2002,$A174,'Sales Log'!$B$3:$B$2002,B$2))</f>
        <v/>
      </c>
      <c r="C174" t="str">
        <f>IF(OR($A174="",C$2=""),"",SUMIFS('Sales Log'!$G$3:$G$2002,'Sales Log'!$A$3:$A$2002,$A174,'Sales Log'!$B$3:$B$2002,C$2))</f>
        <v/>
      </c>
      <c r="D174" t="str">
        <f>IF(OR($A174="",D$2=""),"",SUMIFS('Sales Log'!$G$3:$G$2002,'Sales Log'!$A$3:$A$2002,$A174,'Sales Log'!$B$3:$B$2002,D$2))</f>
        <v/>
      </c>
      <c r="E174" t="str">
        <f>IF(OR($A174="",E$2=""),"",SUMIFS('Sales Log'!$G$3:$G$2002,'Sales Log'!$A$3:$A$2002,$A174,'Sales Log'!$B$3:$B$2002,E$2))</f>
        <v/>
      </c>
      <c r="F174" t="str">
        <f t="shared" si="2"/>
        <v/>
      </c>
    </row>
    <row r="175" spans="2:6">
      <c r="B175" t="str">
        <f>IF(OR($A175="",B$2=""),"",SUMIFS('Sales Log'!$G$3:$G$2002,'Sales Log'!$A$3:$A$2002,$A175,'Sales Log'!$B$3:$B$2002,B$2))</f>
        <v/>
      </c>
      <c r="C175" t="str">
        <f>IF(OR($A175="",C$2=""),"",SUMIFS('Sales Log'!$G$3:$G$2002,'Sales Log'!$A$3:$A$2002,$A175,'Sales Log'!$B$3:$B$2002,C$2))</f>
        <v/>
      </c>
      <c r="D175" t="str">
        <f>IF(OR($A175="",D$2=""),"",SUMIFS('Sales Log'!$G$3:$G$2002,'Sales Log'!$A$3:$A$2002,$A175,'Sales Log'!$B$3:$B$2002,D$2))</f>
        <v/>
      </c>
      <c r="E175" t="str">
        <f>IF(OR($A175="",E$2=""),"",SUMIFS('Sales Log'!$G$3:$G$2002,'Sales Log'!$A$3:$A$2002,$A175,'Sales Log'!$B$3:$B$2002,E$2))</f>
        <v/>
      </c>
      <c r="F175" t="str">
        <f t="shared" si="2"/>
        <v/>
      </c>
    </row>
    <row r="176" spans="2:6">
      <c r="B176" t="str">
        <f>IF(OR($A176="",B$2=""),"",SUMIFS('Sales Log'!$G$3:$G$2002,'Sales Log'!$A$3:$A$2002,$A176,'Sales Log'!$B$3:$B$2002,B$2))</f>
        <v/>
      </c>
      <c r="C176" t="str">
        <f>IF(OR($A176="",C$2=""),"",SUMIFS('Sales Log'!$G$3:$G$2002,'Sales Log'!$A$3:$A$2002,$A176,'Sales Log'!$B$3:$B$2002,C$2))</f>
        <v/>
      </c>
      <c r="D176" t="str">
        <f>IF(OR($A176="",D$2=""),"",SUMIFS('Sales Log'!$G$3:$G$2002,'Sales Log'!$A$3:$A$2002,$A176,'Sales Log'!$B$3:$B$2002,D$2))</f>
        <v/>
      </c>
      <c r="E176" t="str">
        <f>IF(OR($A176="",E$2=""),"",SUMIFS('Sales Log'!$G$3:$G$2002,'Sales Log'!$A$3:$A$2002,$A176,'Sales Log'!$B$3:$B$2002,E$2))</f>
        <v/>
      </c>
      <c r="F176" t="str">
        <f t="shared" si="2"/>
        <v/>
      </c>
    </row>
    <row r="177" spans="2:6">
      <c r="B177" t="str">
        <f>IF(OR($A177="",B$2=""),"",SUMIFS('Sales Log'!$G$3:$G$2002,'Sales Log'!$A$3:$A$2002,$A177,'Sales Log'!$B$3:$B$2002,B$2))</f>
        <v/>
      </c>
      <c r="C177" t="str">
        <f>IF(OR($A177="",C$2=""),"",SUMIFS('Sales Log'!$G$3:$G$2002,'Sales Log'!$A$3:$A$2002,$A177,'Sales Log'!$B$3:$B$2002,C$2))</f>
        <v/>
      </c>
      <c r="D177" t="str">
        <f>IF(OR($A177="",D$2=""),"",SUMIFS('Sales Log'!$G$3:$G$2002,'Sales Log'!$A$3:$A$2002,$A177,'Sales Log'!$B$3:$B$2002,D$2))</f>
        <v/>
      </c>
      <c r="E177" t="str">
        <f>IF(OR($A177="",E$2=""),"",SUMIFS('Sales Log'!$G$3:$G$2002,'Sales Log'!$A$3:$A$2002,$A177,'Sales Log'!$B$3:$B$2002,E$2))</f>
        <v/>
      </c>
      <c r="F177" t="str">
        <f t="shared" si="2"/>
        <v/>
      </c>
    </row>
    <row r="178" spans="2:6">
      <c r="B178" t="str">
        <f>IF(OR($A178="",B$2=""),"",SUMIFS('Sales Log'!$G$3:$G$2002,'Sales Log'!$A$3:$A$2002,$A178,'Sales Log'!$B$3:$B$2002,B$2))</f>
        <v/>
      </c>
      <c r="C178" t="str">
        <f>IF(OR($A178="",C$2=""),"",SUMIFS('Sales Log'!$G$3:$G$2002,'Sales Log'!$A$3:$A$2002,$A178,'Sales Log'!$B$3:$B$2002,C$2))</f>
        <v/>
      </c>
      <c r="D178" t="str">
        <f>IF(OR($A178="",D$2=""),"",SUMIFS('Sales Log'!$G$3:$G$2002,'Sales Log'!$A$3:$A$2002,$A178,'Sales Log'!$B$3:$B$2002,D$2))</f>
        <v/>
      </c>
      <c r="E178" t="str">
        <f>IF(OR($A178="",E$2=""),"",SUMIFS('Sales Log'!$G$3:$G$2002,'Sales Log'!$A$3:$A$2002,$A178,'Sales Log'!$B$3:$B$2002,E$2))</f>
        <v/>
      </c>
      <c r="F178" t="str">
        <f t="shared" si="2"/>
        <v/>
      </c>
    </row>
    <row r="179" spans="2:6">
      <c r="B179" t="str">
        <f>IF(OR($A179="",B$2=""),"",SUMIFS('Sales Log'!$G$3:$G$2002,'Sales Log'!$A$3:$A$2002,$A179,'Sales Log'!$B$3:$B$2002,B$2))</f>
        <v/>
      </c>
      <c r="C179" t="str">
        <f>IF(OR($A179="",C$2=""),"",SUMIFS('Sales Log'!$G$3:$G$2002,'Sales Log'!$A$3:$A$2002,$A179,'Sales Log'!$B$3:$B$2002,C$2))</f>
        <v/>
      </c>
      <c r="D179" t="str">
        <f>IF(OR($A179="",D$2=""),"",SUMIFS('Sales Log'!$G$3:$G$2002,'Sales Log'!$A$3:$A$2002,$A179,'Sales Log'!$B$3:$B$2002,D$2))</f>
        <v/>
      </c>
      <c r="E179" t="str">
        <f>IF(OR($A179="",E$2=""),"",SUMIFS('Sales Log'!$G$3:$G$2002,'Sales Log'!$A$3:$A$2002,$A179,'Sales Log'!$B$3:$B$2002,E$2))</f>
        <v/>
      </c>
      <c r="F179" t="str">
        <f t="shared" si="2"/>
        <v/>
      </c>
    </row>
    <row r="180" spans="2:6">
      <c r="B180" t="str">
        <f>IF(OR($A180="",B$2=""),"",SUMIFS('Sales Log'!$G$3:$G$2002,'Sales Log'!$A$3:$A$2002,$A180,'Sales Log'!$B$3:$B$2002,B$2))</f>
        <v/>
      </c>
      <c r="C180" t="str">
        <f>IF(OR($A180="",C$2=""),"",SUMIFS('Sales Log'!$G$3:$G$2002,'Sales Log'!$A$3:$A$2002,$A180,'Sales Log'!$B$3:$B$2002,C$2))</f>
        <v/>
      </c>
      <c r="D180" t="str">
        <f>IF(OR($A180="",D$2=""),"",SUMIFS('Sales Log'!$G$3:$G$2002,'Sales Log'!$A$3:$A$2002,$A180,'Sales Log'!$B$3:$B$2002,D$2))</f>
        <v/>
      </c>
      <c r="E180" t="str">
        <f>IF(OR($A180="",E$2=""),"",SUMIFS('Sales Log'!$G$3:$G$2002,'Sales Log'!$A$3:$A$2002,$A180,'Sales Log'!$B$3:$B$2002,E$2))</f>
        <v/>
      </c>
      <c r="F180" t="str">
        <f t="shared" si="2"/>
        <v/>
      </c>
    </row>
    <row r="181" spans="2:6">
      <c r="B181" t="str">
        <f>IF(OR($A181="",B$2=""),"",SUMIFS('Sales Log'!$G$3:$G$2002,'Sales Log'!$A$3:$A$2002,$A181,'Sales Log'!$B$3:$B$2002,B$2))</f>
        <v/>
      </c>
      <c r="C181" t="str">
        <f>IF(OR($A181="",C$2=""),"",SUMIFS('Sales Log'!$G$3:$G$2002,'Sales Log'!$A$3:$A$2002,$A181,'Sales Log'!$B$3:$B$2002,C$2))</f>
        <v/>
      </c>
      <c r="D181" t="str">
        <f>IF(OR($A181="",D$2=""),"",SUMIFS('Sales Log'!$G$3:$G$2002,'Sales Log'!$A$3:$A$2002,$A181,'Sales Log'!$B$3:$B$2002,D$2))</f>
        <v/>
      </c>
      <c r="E181" t="str">
        <f>IF(OR($A181="",E$2=""),"",SUMIFS('Sales Log'!$G$3:$G$2002,'Sales Log'!$A$3:$A$2002,$A181,'Sales Log'!$B$3:$B$2002,E$2))</f>
        <v/>
      </c>
      <c r="F181" t="str">
        <f t="shared" si="2"/>
        <v/>
      </c>
    </row>
    <row r="182" spans="2:6">
      <c r="B182" t="str">
        <f>IF(OR($A182="",B$2=""),"",SUMIFS('Sales Log'!$G$3:$G$2002,'Sales Log'!$A$3:$A$2002,$A182,'Sales Log'!$B$3:$B$2002,B$2))</f>
        <v/>
      </c>
      <c r="C182" t="str">
        <f>IF(OR($A182="",C$2=""),"",SUMIFS('Sales Log'!$G$3:$G$2002,'Sales Log'!$A$3:$A$2002,$A182,'Sales Log'!$B$3:$B$2002,C$2))</f>
        <v/>
      </c>
      <c r="D182" t="str">
        <f>IF(OR($A182="",D$2=""),"",SUMIFS('Sales Log'!$G$3:$G$2002,'Sales Log'!$A$3:$A$2002,$A182,'Sales Log'!$B$3:$B$2002,D$2))</f>
        <v/>
      </c>
      <c r="E182" t="str">
        <f>IF(OR($A182="",E$2=""),"",SUMIFS('Sales Log'!$G$3:$G$2002,'Sales Log'!$A$3:$A$2002,$A182,'Sales Log'!$B$3:$B$2002,E$2))</f>
        <v/>
      </c>
      <c r="F182" t="str">
        <f t="shared" si="2"/>
        <v/>
      </c>
    </row>
    <row r="183" spans="2:6">
      <c r="B183" t="str">
        <f>IF(OR($A183="",B$2=""),"",SUMIFS('Sales Log'!$G$3:$G$2002,'Sales Log'!$A$3:$A$2002,$A183,'Sales Log'!$B$3:$B$2002,B$2))</f>
        <v/>
      </c>
      <c r="C183" t="str">
        <f>IF(OR($A183="",C$2=""),"",SUMIFS('Sales Log'!$G$3:$G$2002,'Sales Log'!$A$3:$A$2002,$A183,'Sales Log'!$B$3:$B$2002,C$2))</f>
        <v/>
      </c>
      <c r="D183" t="str">
        <f>IF(OR($A183="",D$2=""),"",SUMIFS('Sales Log'!$G$3:$G$2002,'Sales Log'!$A$3:$A$2002,$A183,'Sales Log'!$B$3:$B$2002,D$2))</f>
        <v/>
      </c>
      <c r="E183" t="str">
        <f>IF(OR($A183="",E$2=""),"",SUMIFS('Sales Log'!$G$3:$G$2002,'Sales Log'!$A$3:$A$2002,$A183,'Sales Log'!$B$3:$B$2002,E$2))</f>
        <v/>
      </c>
      <c r="F183" t="str">
        <f t="shared" si="2"/>
        <v/>
      </c>
    </row>
    <row r="184" spans="2:6">
      <c r="B184" t="str">
        <f>IF(OR($A184="",B$2=""),"",SUMIFS('Sales Log'!$G$3:$G$2002,'Sales Log'!$A$3:$A$2002,$A184,'Sales Log'!$B$3:$B$2002,B$2))</f>
        <v/>
      </c>
      <c r="C184" t="str">
        <f>IF(OR($A184="",C$2=""),"",SUMIFS('Sales Log'!$G$3:$G$2002,'Sales Log'!$A$3:$A$2002,$A184,'Sales Log'!$B$3:$B$2002,C$2))</f>
        <v/>
      </c>
      <c r="D184" t="str">
        <f>IF(OR($A184="",D$2=""),"",SUMIFS('Sales Log'!$G$3:$G$2002,'Sales Log'!$A$3:$A$2002,$A184,'Sales Log'!$B$3:$B$2002,D$2))</f>
        <v/>
      </c>
      <c r="E184" t="str">
        <f>IF(OR($A184="",E$2=""),"",SUMIFS('Sales Log'!$G$3:$G$2002,'Sales Log'!$A$3:$A$2002,$A184,'Sales Log'!$B$3:$B$2002,E$2))</f>
        <v/>
      </c>
      <c r="F184" t="str">
        <f t="shared" si="2"/>
        <v/>
      </c>
    </row>
    <row r="185" spans="2:6">
      <c r="B185" t="str">
        <f>IF(OR($A185="",B$2=""),"",SUMIFS('Sales Log'!$G$3:$G$2002,'Sales Log'!$A$3:$A$2002,$A185,'Sales Log'!$B$3:$B$2002,B$2))</f>
        <v/>
      </c>
      <c r="C185" t="str">
        <f>IF(OR($A185="",C$2=""),"",SUMIFS('Sales Log'!$G$3:$G$2002,'Sales Log'!$A$3:$A$2002,$A185,'Sales Log'!$B$3:$B$2002,C$2))</f>
        <v/>
      </c>
      <c r="D185" t="str">
        <f>IF(OR($A185="",D$2=""),"",SUMIFS('Sales Log'!$G$3:$G$2002,'Sales Log'!$A$3:$A$2002,$A185,'Sales Log'!$B$3:$B$2002,D$2))</f>
        <v/>
      </c>
      <c r="E185" t="str">
        <f>IF(OR($A185="",E$2=""),"",SUMIFS('Sales Log'!$G$3:$G$2002,'Sales Log'!$A$3:$A$2002,$A185,'Sales Log'!$B$3:$B$2002,E$2))</f>
        <v/>
      </c>
      <c r="F185" t="str">
        <f t="shared" si="2"/>
        <v/>
      </c>
    </row>
    <row r="186" spans="2:6">
      <c r="B186" t="str">
        <f>IF(OR($A186="",B$2=""),"",SUMIFS('Sales Log'!$G$3:$G$2002,'Sales Log'!$A$3:$A$2002,$A186,'Sales Log'!$B$3:$B$2002,B$2))</f>
        <v/>
      </c>
      <c r="C186" t="str">
        <f>IF(OR($A186="",C$2=""),"",SUMIFS('Sales Log'!$G$3:$G$2002,'Sales Log'!$A$3:$A$2002,$A186,'Sales Log'!$B$3:$B$2002,C$2))</f>
        <v/>
      </c>
      <c r="D186" t="str">
        <f>IF(OR($A186="",D$2=""),"",SUMIFS('Sales Log'!$G$3:$G$2002,'Sales Log'!$A$3:$A$2002,$A186,'Sales Log'!$B$3:$B$2002,D$2))</f>
        <v/>
      </c>
      <c r="E186" t="str">
        <f>IF(OR($A186="",E$2=""),"",SUMIFS('Sales Log'!$G$3:$G$2002,'Sales Log'!$A$3:$A$2002,$A186,'Sales Log'!$B$3:$B$2002,E$2))</f>
        <v/>
      </c>
      <c r="F186" t="str">
        <f t="shared" si="2"/>
        <v/>
      </c>
    </row>
    <row r="187" spans="2:6">
      <c r="B187" t="str">
        <f>IF(OR($A187="",B$2=""),"",SUMIFS('Sales Log'!$G$3:$G$2002,'Sales Log'!$A$3:$A$2002,$A187,'Sales Log'!$B$3:$B$2002,B$2))</f>
        <v/>
      </c>
      <c r="C187" t="str">
        <f>IF(OR($A187="",C$2=""),"",SUMIFS('Sales Log'!$G$3:$G$2002,'Sales Log'!$A$3:$A$2002,$A187,'Sales Log'!$B$3:$B$2002,C$2))</f>
        <v/>
      </c>
      <c r="D187" t="str">
        <f>IF(OR($A187="",D$2=""),"",SUMIFS('Sales Log'!$G$3:$G$2002,'Sales Log'!$A$3:$A$2002,$A187,'Sales Log'!$B$3:$B$2002,D$2))</f>
        <v/>
      </c>
      <c r="E187" t="str">
        <f>IF(OR($A187="",E$2=""),"",SUMIFS('Sales Log'!$G$3:$G$2002,'Sales Log'!$A$3:$A$2002,$A187,'Sales Log'!$B$3:$B$2002,E$2))</f>
        <v/>
      </c>
      <c r="F187" t="str">
        <f t="shared" si="2"/>
        <v/>
      </c>
    </row>
    <row r="188" spans="2:6">
      <c r="B188" t="str">
        <f>IF(OR($A188="",B$2=""),"",SUMIFS('Sales Log'!$G$3:$G$2002,'Sales Log'!$A$3:$A$2002,$A188,'Sales Log'!$B$3:$B$2002,B$2))</f>
        <v/>
      </c>
      <c r="C188" t="str">
        <f>IF(OR($A188="",C$2=""),"",SUMIFS('Sales Log'!$G$3:$G$2002,'Sales Log'!$A$3:$A$2002,$A188,'Sales Log'!$B$3:$B$2002,C$2))</f>
        <v/>
      </c>
      <c r="D188" t="str">
        <f>IF(OR($A188="",D$2=""),"",SUMIFS('Sales Log'!$G$3:$G$2002,'Sales Log'!$A$3:$A$2002,$A188,'Sales Log'!$B$3:$B$2002,D$2))</f>
        <v/>
      </c>
      <c r="E188" t="str">
        <f>IF(OR($A188="",E$2=""),"",SUMIFS('Sales Log'!$G$3:$G$2002,'Sales Log'!$A$3:$A$2002,$A188,'Sales Log'!$B$3:$B$2002,E$2))</f>
        <v/>
      </c>
      <c r="F188" t="str">
        <f t="shared" si="2"/>
        <v/>
      </c>
    </row>
    <row r="189" spans="2:6">
      <c r="B189" t="str">
        <f>IF(OR($A189="",B$2=""),"",SUMIFS('Sales Log'!$G$3:$G$2002,'Sales Log'!$A$3:$A$2002,$A189,'Sales Log'!$B$3:$B$2002,B$2))</f>
        <v/>
      </c>
      <c r="C189" t="str">
        <f>IF(OR($A189="",C$2=""),"",SUMIFS('Sales Log'!$G$3:$G$2002,'Sales Log'!$A$3:$A$2002,$A189,'Sales Log'!$B$3:$B$2002,C$2))</f>
        <v/>
      </c>
      <c r="D189" t="str">
        <f>IF(OR($A189="",D$2=""),"",SUMIFS('Sales Log'!$G$3:$G$2002,'Sales Log'!$A$3:$A$2002,$A189,'Sales Log'!$B$3:$B$2002,D$2))</f>
        <v/>
      </c>
      <c r="E189" t="str">
        <f>IF(OR($A189="",E$2=""),"",SUMIFS('Sales Log'!$G$3:$G$2002,'Sales Log'!$A$3:$A$2002,$A189,'Sales Log'!$B$3:$B$2002,E$2))</f>
        <v/>
      </c>
      <c r="F189" t="str">
        <f t="shared" si="2"/>
        <v/>
      </c>
    </row>
    <row r="190" spans="2:6">
      <c r="B190" t="str">
        <f>IF(OR($A190="",B$2=""),"",SUMIFS('Sales Log'!$G$3:$G$2002,'Sales Log'!$A$3:$A$2002,$A190,'Sales Log'!$B$3:$B$2002,B$2))</f>
        <v/>
      </c>
      <c r="C190" t="str">
        <f>IF(OR($A190="",C$2=""),"",SUMIFS('Sales Log'!$G$3:$G$2002,'Sales Log'!$A$3:$A$2002,$A190,'Sales Log'!$B$3:$B$2002,C$2))</f>
        <v/>
      </c>
      <c r="D190" t="str">
        <f>IF(OR($A190="",D$2=""),"",SUMIFS('Sales Log'!$G$3:$G$2002,'Sales Log'!$A$3:$A$2002,$A190,'Sales Log'!$B$3:$B$2002,D$2))</f>
        <v/>
      </c>
      <c r="E190" t="str">
        <f>IF(OR($A190="",E$2=""),"",SUMIFS('Sales Log'!$G$3:$G$2002,'Sales Log'!$A$3:$A$2002,$A190,'Sales Log'!$B$3:$B$2002,E$2))</f>
        <v/>
      </c>
      <c r="F190" t="str">
        <f t="shared" si="2"/>
        <v/>
      </c>
    </row>
    <row r="191" spans="2:6">
      <c r="B191" t="str">
        <f>IF(OR($A191="",B$2=""),"",SUMIFS('Sales Log'!$G$3:$G$2002,'Sales Log'!$A$3:$A$2002,$A191,'Sales Log'!$B$3:$B$2002,B$2))</f>
        <v/>
      </c>
      <c r="C191" t="str">
        <f>IF(OR($A191="",C$2=""),"",SUMIFS('Sales Log'!$G$3:$G$2002,'Sales Log'!$A$3:$A$2002,$A191,'Sales Log'!$B$3:$B$2002,C$2))</f>
        <v/>
      </c>
      <c r="D191" t="str">
        <f>IF(OR($A191="",D$2=""),"",SUMIFS('Sales Log'!$G$3:$G$2002,'Sales Log'!$A$3:$A$2002,$A191,'Sales Log'!$B$3:$B$2002,D$2))</f>
        <v/>
      </c>
      <c r="E191" t="str">
        <f>IF(OR($A191="",E$2=""),"",SUMIFS('Sales Log'!$G$3:$G$2002,'Sales Log'!$A$3:$A$2002,$A191,'Sales Log'!$B$3:$B$2002,E$2))</f>
        <v/>
      </c>
      <c r="F191" t="str">
        <f t="shared" si="2"/>
        <v/>
      </c>
    </row>
    <row r="192" spans="2:6">
      <c r="B192" t="str">
        <f>IF(OR($A192="",B$2=""),"",SUMIFS('Sales Log'!$G$3:$G$2002,'Sales Log'!$A$3:$A$2002,$A192,'Sales Log'!$B$3:$B$2002,B$2))</f>
        <v/>
      </c>
      <c r="C192" t="str">
        <f>IF(OR($A192="",C$2=""),"",SUMIFS('Sales Log'!$G$3:$G$2002,'Sales Log'!$A$3:$A$2002,$A192,'Sales Log'!$B$3:$B$2002,C$2))</f>
        <v/>
      </c>
      <c r="D192" t="str">
        <f>IF(OR($A192="",D$2=""),"",SUMIFS('Sales Log'!$G$3:$G$2002,'Sales Log'!$A$3:$A$2002,$A192,'Sales Log'!$B$3:$B$2002,D$2))</f>
        <v/>
      </c>
      <c r="E192" t="str">
        <f>IF(OR($A192="",E$2=""),"",SUMIFS('Sales Log'!$G$3:$G$2002,'Sales Log'!$A$3:$A$2002,$A192,'Sales Log'!$B$3:$B$2002,E$2))</f>
        <v/>
      </c>
      <c r="F192" t="str">
        <f t="shared" si="2"/>
        <v/>
      </c>
    </row>
    <row r="193" spans="2:6">
      <c r="B193" t="str">
        <f>IF(OR($A193="",B$2=""),"",SUMIFS('Sales Log'!$G$3:$G$2002,'Sales Log'!$A$3:$A$2002,$A193,'Sales Log'!$B$3:$B$2002,B$2))</f>
        <v/>
      </c>
      <c r="C193" t="str">
        <f>IF(OR($A193="",C$2=""),"",SUMIFS('Sales Log'!$G$3:$G$2002,'Sales Log'!$A$3:$A$2002,$A193,'Sales Log'!$B$3:$B$2002,C$2))</f>
        <v/>
      </c>
      <c r="D193" t="str">
        <f>IF(OR($A193="",D$2=""),"",SUMIFS('Sales Log'!$G$3:$G$2002,'Sales Log'!$A$3:$A$2002,$A193,'Sales Log'!$B$3:$B$2002,D$2))</f>
        <v/>
      </c>
      <c r="E193" t="str">
        <f>IF(OR($A193="",E$2=""),"",SUMIFS('Sales Log'!$G$3:$G$2002,'Sales Log'!$A$3:$A$2002,$A193,'Sales Log'!$B$3:$B$2002,E$2))</f>
        <v/>
      </c>
      <c r="F193" t="str">
        <f t="shared" si="2"/>
        <v/>
      </c>
    </row>
    <row r="194" spans="2:6">
      <c r="B194" t="str">
        <f>IF(OR($A194="",B$2=""),"",SUMIFS('Sales Log'!$G$3:$G$2002,'Sales Log'!$A$3:$A$2002,$A194,'Sales Log'!$B$3:$B$2002,B$2))</f>
        <v/>
      </c>
      <c r="C194" t="str">
        <f>IF(OR($A194="",C$2=""),"",SUMIFS('Sales Log'!$G$3:$G$2002,'Sales Log'!$A$3:$A$2002,$A194,'Sales Log'!$B$3:$B$2002,C$2))</f>
        <v/>
      </c>
      <c r="D194" t="str">
        <f>IF(OR($A194="",D$2=""),"",SUMIFS('Sales Log'!$G$3:$G$2002,'Sales Log'!$A$3:$A$2002,$A194,'Sales Log'!$B$3:$B$2002,D$2))</f>
        <v/>
      </c>
      <c r="E194" t="str">
        <f>IF(OR($A194="",E$2=""),"",SUMIFS('Sales Log'!$G$3:$G$2002,'Sales Log'!$A$3:$A$2002,$A194,'Sales Log'!$B$3:$B$2002,E$2))</f>
        <v/>
      </c>
      <c r="F194" t="str">
        <f t="shared" si="2"/>
        <v/>
      </c>
    </row>
    <row r="195" spans="2:6">
      <c r="B195" t="str">
        <f>IF(OR($A195="",B$2=""),"",SUMIFS('Sales Log'!$G$3:$G$2002,'Sales Log'!$A$3:$A$2002,$A195,'Sales Log'!$B$3:$B$2002,B$2))</f>
        <v/>
      </c>
      <c r="C195" t="str">
        <f>IF(OR($A195="",C$2=""),"",SUMIFS('Sales Log'!$G$3:$G$2002,'Sales Log'!$A$3:$A$2002,$A195,'Sales Log'!$B$3:$B$2002,C$2))</f>
        <v/>
      </c>
      <c r="D195" t="str">
        <f>IF(OR($A195="",D$2=""),"",SUMIFS('Sales Log'!$G$3:$G$2002,'Sales Log'!$A$3:$A$2002,$A195,'Sales Log'!$B$3:$B$2002,D$2))</f>
        <v/>
      </c>
      <c r="E195" t="str">
        <f>IF(OR($A195="",E$2=""),"",SUMIFS('Sales Log'!$G$3:$G$2002,'Sales Log'!$A$3:$A$2002,$A195,'Sales Log'!$B$3:$B$2002,E$2))</f>
        <v/>
      </c>
      <c r="F195" t="str">
        <f t="shared" ref="F195:F258" si="3">IF(A195="","",SUM(B195:E195))</f>
        <v/>
      </c>
    </row>
    <row r="196" spans="2:6">
      <c r="B196" t="str">
        <f>IF(OR($A196="",B$2=""),"",SUMIFS('Sales Log'!$G$3:$G$2002,'Sales Log'!$A$3:$A$2002,$A196,'Sales Log'!$B$3:$B$2002,B$2))</f>
        <v/>
      </c>
      <c r="C196" t="str">
        <f>IF(OR($A196="",C$2=""),"",SUMIFS('Sales Log'!$G$3:$G$2002,'Sales Log'!$A$3:$A$2002,$A196,'Sales Log'!$B$3:$B$2002,C$2))</f>
        <v/>
      </c>
      <c r="D196" t="str">
        <f>IF(OR($A196="",D$2=""),"",SUMIFS('Sales Log'!$G$3:$G$2002,'Sales Log'!$A$3:$A$2002,$A196,'Sales Log'!$B$3:$B$2002,D$2))</f>
        <v/>
      </c>
      <c r="E196" t="str">
        <f>IF(OR($A196="",E$2=""),"",SUMIFS('Sales Log'!$G$3:$G$2002,'Sales Log'!$A$3:$A$2002,$A196,'Sales Log'!$B$3:$B$2002,E$2))</f>
        <v/>
      </c>
      <c r="F196" t="str">
        <f t="shared" si="3"/>
        <v/>
      </c>
    </row>
    <row r="197" spans="2:6">
      <c r="B197" t="str">
        <f>IF(OR($A197="",B$2=""),"",SUMIFS('Sales Log'!$G$3:$G$2002,'Sales Log'!$A$3:$A$2002,$A197,'Sales Log'!$B$3:$B$2002,B$2))</f>
        <v/>
      </c>
      <c r="C197" t="str">
        <f>IF(OR($A197="",C$2=""),"",SUMIFS('Sales Log'!$G$3:$G$2002,'Sales Log'!$A$3:$A$2002,$A197,'Sales Log'!$B$3:$B$2002,C$2))</f>
        <v/>
      </c>
      <c r="D197" t="str">
        <f>IF(OR($A197="",D$2=""),"",SUMIFS('Sales Log'!$G$3:$G$2002,'Sales Log'!$A$3:$A$2002,$A197,'Sales Log'!$B$3:$B$2002,D$2))</f>
        <v/>
      </c>
      <c r="E197" t="str">
        <f>IF(OR($A197="",E$2=""),"",SUMIFS('Sales Log'!$G$3:$G$2002,'Sales Log'!$A$3:$A$2002,$A197,'Sales Log'!$B$3:$B$2002,E$2))</f>
        <v/>
      </c>
      <c r="F197" t="str">
        <f t="shared" si="3"/>
        <v/>
      </c>
    </row>
    <row r="198" spans="2:6">
      <c r="B198" t="str">
        <f>IF(OR($A198="",B$2=""),"",SUMIFS('Sales Log'!$G$3:$G$2002,'Sales Log'!$A$3:$A$2002,$A198,'Sales Log'!$B$3:$B$2002,B$2))</f>
        <v/>
      </c>
      <c r="C198" t="str">
        <f>IF(OR($A198="",C$2=""),"",SUMIFS('Sales Log'!$G$3:$G$2002,'Sales Log'!$A$3:$A$2002,$A198,'Sales Log'!$B$3:$B$2002,C$2))</f>
        <v/>
      </c>
      <c r="D198" t="str">
        <f>IF(OR($A198="",D$2=""),"",SUMIFS('Sales Log'!$G$3:$G$2002,'Sales Log'!$A$3:$A$2002,$A198,'Sales Log'!$B$3:$B$2002,D$2))</f>
        <v/>
      </c>
      <c r="E198" t="str">
        <f>IF(OR($A198="",E$2=""),"",SUMIFS('Sales Log'!$G$3:$G$2002,'Sales Log'!$A$3:$A$2002,$A198,'Sales Log'!$B$3:$B$2002,E$2))</f>
        <v/>
      </c>
      <c r="F198" t="str">
        <f t="shared" si="3"/>
        <v/>
      </c>
    </row>
    <row r="199" spans="2:6">
      <c r="B199" t="str">
        <f>IF(OR($A199="",B$2=""),"",SUMIFS('Sales Log'!$G$3:$G$2002,'Sales Log'!$A$3:$A$2002,$A199,'Sales Log'!$B$3:$B$2002,B$2))</f>
        <v/>
      </c>
      <c r="C199" t="str">
        <f>IF(OR($A199="",C$2=""),"",SUMIFS('Sales Log'!$G$3:$G$2002,'Sales Log'!$A$3:$A$2002,$A199,'Sales Log'!$B$3:$B$2002,C$2))</f>
        <v/>
      </c>
      <c r="D199" t="str">
        <f>IF(OR($A199="",D$2=""),"",SUMIFS('Sales Log'!$G$3:$G$2002,'Sales Log'!$A$3:$A$2002,$A199,'Sales Log'!$B$3:$B$2002,D$2))</f>
        <v/>
      </c>
      <c r="E199" t="str">
        <f>IF(OR($A199="",E$2=""),"",SUMIFS('Sales Log'!$G$3:$G$2002,'Sales Log'!$A$3:$A$2002,$A199,'Sales Log'!$B$3:$B$2002,E$2))</f>
        <v/>
      </c>
      <c r="F199" t="str">
        <f t="shared" si="3"/>
        <v/>
      </c>
    </row>
    <row r="200" spans="2:6">
      <c r="B200" t="str">
        <f>IF(OR($A200="",B$2=""),"",SUMIFS('Sales Log'!$G$3:$G$2002,'Sales Log'!$A$3:$A$2002,$A200,'Sales Log'!$B$3:$B$2002,B$2))</f>
        <v/>
      </c>
      <c r="C200" t="str">
        <f>IF(OR($A200="",C$2=""),"",SUMIFS('Sales Log'!$G$3:$G$2002,'Sales Log'!$A$3:$A$2002,$A200,'Sales Log'!$B$3:$B$2002,C$2))</f>
        <v/>
      </c>
      <c r="D200" t="str">
        <f>IF(OR($A200="",D$2=""),"",SUMIFS('Sales Log'!$G$3:$G$2002,'Sales Log'!$A$3:$A$2002,$A200,'Sales Log'!$B$3:$B$2002,D$2))</f>
        <v/>
      </c>
      <c r="E200" t="str">
        <f>IF(OR($A200="",E$2=""),"",SUMIFS('Sales Log'!$G$3:$G$2002,'Sales Log'!$A$3:$A$2002,$A200,'Sales Log'!$B$3:$B$2002,E$2))</f>
        <v/>
      </c>
      <c r="F200" t="str">
        <f t="shared" si="3"/>
        <v/>
      </c>
    </row>
    <row r="201" spans="2:6">
      <c r="B201" t="str">
        <f>IF(OR($A201="",B$2=""),"",SUMIFS('Sales Log'!$G$3:$G$2002,'Sales Log'!$A$3:$A$2002,$A201,'Sales Log'!$B$3:$B$2002,B$2))</f>
        <v/>
      </c>
      <c r="C201" t="str">
        <f>IF(OR($A201="",C$2=""),"",SUMIFS('Sales Log'!$G$3:$G$2002,'Sales Log'!$A$3:$A$2002,$A201,'Sales Log'!$B$3:$B$2002,C$2))</f>
        <v/>
      </c>
      <c r="D201" t="str">
        <f>IF(OR($A201="",D$2=""),"",SUMIFS('Sales Log'!$G$3:$G$2002,'Sales Log'!$A$3:$A$2002,$A201,'Sales Log'!$B$3:$B$2002,D$2))</f>
        <v/>
      </c>
      <c r="E201" t="str">
        <f>IF(OR($A201="",E$2=""),"",SUMIFS('Sales Log'!$G$3:$G$2002,'Sales Log'!$A$3:$A$2002,$A201,'Sales Log'!$B$3:$B$2002,E$2))</f>
        <v/>
      </c>
      <c r="F201" t="str">
        <f t="shared" si="3"/>
        <v/>
      </c>
    </row>
    <row r="202" spans="2:6">
      <c r="B202" t="str">
        <f>IF(OR($A202="",B$2=""),"",SUMIFS('Sales Log'!$G$3:$G$2002,'Sales Log'!$A$3:$A$2002,$A202,'Sales Log'!$B$3:$B$2002,B$2))</f>
        <v/>
      </c>
      <c r="C202" t="str">
        <f>IF(OR($A202="",C$2=""),"",SUMIFS('Sales Log'!$G$3:$G$2002,'Sales Log'!$A$3:$A$2002,$A202,'Sales Log'!$B$3:$B$2002,C$2))</f>
        <v/>
      </c>
      <c r="D202" t="str">
        <f>IF(OR($A202="",D$2=""),"",SUMIFS('Sales Log'!$G$3:$G$2002,'Sales Log'!$A$3:$A$2002,$A202,'Sales Log'!$B$3:$B$2002,D$2))</f>
        <v/>
      </c>
      <c r="E202" t="str">
        <f>IF(OR($A202="",E$2=""),"",SUMIFS('Sales Log'!$G$3:$G$2002,'Sales Log'!$A$3:$A$2002,$A202,'Sales Log'!$B$3:$B$2002,E$2))</f>
        <v/>
      </c>
      <c r="F202" t="str">
        <f t="shared" si="3"/>
        <v/>
      </c>
    </row>
    <row r="203" spans="2:6">
      <c r="B203" t="str">
        <f>IF(OR($A203="",B$2=""),"",SUMIFS('Sales Log'!$G$3:$G$2002,'Sales Log'!$A$3:$A$2002,$A203,'Sales Log'!$B$3:$B$2002,B$2))</f>
        <v/>
      </c>
      <c r="C203" t="str">
        <f>IF(OR($A203="",C$2=""),"",SUMIFS('Sales Log'!$G$3:$G$2002,'Sales Log'!$A$3:$A$2002,$A203,'Sales Log'!$B$3:$B$2002,C$2))</f>
        <v/>
      </c>
      <c r="D203" t="str">
        <f>IF(OR($A203="",D$2=""),"",SUMIFS('Sales Log'!$G$3:$G$2002,'Sales Log'!$A$3:$A$2002,$A203,'Sales Log'!$B$3:$B$2002,D$2))</f>
        <v/>
      </c>
      <c r="E203" t="str">
        <f>IF(OR($A203="",E$2=""),"",SUMIFS('Sales Log'!$G$3:$G$2002,'Sales Log'!$A$3:$A$2002,$A203,'Sales Log'!$B$3:$B$2002,E$2))</f>
        <v/>
      </c>
      <c r="F203" t="str">
        <f t="shared" si="3"/>
        <v/>
      </c>
    </row>
    <row r="204" spans="2:6">
      <c r="B204" t="str">
        <f>IF(OR($A204="",B$2=""),"",SUMIFS('Sales Log'!$G$3:$G$2002,'Sales Log'!$A$3:$A$2002,$A204,'Sales Log'!$B$3:$B$2002,B$2))</f>
        <v/>
      </c>
      <c r="C204" t="str">
        <f>IF(OR($A204="",C$2=""),"",SUMIFS('Sales Log'!$G$3:$G$2002,'Sales Log'!$A$3:$A$2002,$A204,'Sales Log'!$B$3:$B$2002,C$2))</f>
        <v/>
      </c>
      <c r="D204" t="str">
        <f>IF(OR($A204="",D$2=""),"",SUMIFS('Sales Log'!$G$3:$G$2002,'Sales Log'!$A$3:$A$2002,$A204,'Sales Log'!$B$3:$B$2002,D$2))</f>
        <v/>
      </c>
      <c r="E204" t="str">
        <f>IF(OR($A204="",E$2=""),"",SUMIFS('Sales Log'!$G$3:$G$2002,'Sales Log'!$A$3:$A$2002,$A204,'Sales Log'!$B$3:$B$2002,E$2))</f>
        <v/>
      </c>
      <c r="F204" t="str">
        <f t="shared" si="3"/>
        <v/>
      </c>
    </row>
    <row r="205" spans="2:6">
      <c r="B205" t="str">
        <f>IF(OR($A205="",B$2=""),"",SUMIFS('Sales Log'!$G$3:$G$2002,'Sales Log'!$A$3:$A$2002,$A205,'Sales Log'!$B$3:$B$2002,B$2))</f>
        <v/>
      </c>
      <c r="C205" t="str">
        <f>IF(OR($A205="",C$2=""),"",SUMIFS('Sales Log'!$G$3:$G$2002,'Sales Log'!$A$3:$A$2002,$A205,'Sales Log'!$B$3:$B$2002,C$2))</f>
        <v/>
      </c>
      <c r="D205" t="str">
        <f>IF(OR($A205="",D$2=""),"",SUMIFS('Sales Log'!$G$3:$G$2002,'Sales Log'!$A$3:$A$2002,$A205,'Sales Log'!$B$3:$B$2002,D$2))</f>
        <v/>
      </c>
      <c r="E205" t="str">
        <f>IF(OR($A205="",E$2=""),"",SUMIFS('Sales Log'!$G$3:$G$2002,'Sales Log'!$A$3:$A$2002,$A205,'Sales Log'!$B$3:$B$2002,E$2))</f>
        <v/>
      </c>
      <c r="F205" t="str">
        <f t="shared" si="3"/>
        <v/>
      </c>
    </row>
    <row r="206" spans="2:6">
      <c r="B206" t="str">
        <f>IF(OR($A206="",B$2=""),"",SUMIFS('Sales Log'!$G$3:$G$2002,'Sales Log'!$A$3:$A$2002,$A206,'Sales Log'!$B$3:$B$2002,B$2))</f>
        <v/>
      </c>
      <c r="C206" t="str">
        <f>IF(OR($A206="",C$2=""),"",SUMIFS('Sales Log'!$G$3:$G$2002,'Sales Log'!$A$3:$A$2002,$A206,'Sales Log'!$B$3:$B$2002,C$2))</f>
        <v/>
      </c>
      <c r="D206" t="str">
        <f>IF(OR($A206="",D$2=""),"",SUMIFS('Sales Log'!$G$3:$G$2002,'Sales Log'!$A$3:$A$2002,$A206,'Sales Log'!$B$3:$B$2002,D$2))</f>
        <v/>
      </c>
      <c r="E206" t="str">
        <f>IF(OR($A206="",E$2=""),"",SUMIFS('Sales Log'!$G$3:$G$2002,'Sales Log'!$A$3:$A$2002,$A206,'Sales Log'!$B$3:$B$2002,E$2))</f>
        <v/>
      </c>
      <c r="F206" t="str">
        <f t="shared" si="3"/>
        <v/>
      </c>
    </row>
    <row r="207" spans="2:6">
      <c r="B207" t="str">
        <f>IF(OR($A207="",B$2=""),"",SUMIFS('Sales Log'!$G$3:$G$2002,'Sales Log'!$A$3:$A$2002,$A207,'Sales Log'!$B$3:$B$2002,B$2))</f>
        <v/>
      </c>
      <c r="C207" t="str">
        <f>IF(OR($A207="",C$2=""),"",SUMIFS('Sales Log'!$G$3:$G$2002,'Sales Log'!$A$3:$A$2002,$A207,'Sales Log'!$B$3:$B$2002,C$2))</f>
        <v/>
      </c>
      <c r="D207" t="str">
        <f>IF(OR($A207="",D$2=""),"",SUMIFS('Sales Log'!$G$3:$G$2002,'Sales Log'!$A$3:$A$2002,$A207,'Sales Log'!$B$3:$B$2002,D$2))</f>
        <v/>
      </c>
      <c r="E207" t="str">
        <f>IF(OR($A207="",E$2=""),"",SUMIFS('Sales Log'!$G$3:$G$2002,'Sales Log'!$A$3:$A$2002,$A207,'Sales Log'!$B$3:$B$2002,E$2))</f>
        <v/>
      </c>
      <c r="F207" t="str">
        <f t="shared" si="3"/>
        <v/>
      </c>
    </row>
    <row r="208" spans="2:6">
      <c r="B208" t="str">
        <f>IF(OR($A208="",B$2=""),"",SUMIFS('Sales Log'!$G$3:$G$2002,'Sales Log'!$A$3:$A$2002,$A208,'Sales Log'!$B$3:$B$2002,B$2))</f>
        <v/>
      </c>
      <c r="C208" t="str">
        <f>IF(OR($A208="",C$2=""),"",SUMIFS('Sales Log'!$G$3:$G$2002,'Sales Log'!$A$3:$A$2002,$A208,'Sales Log'!$B$3:$B$2002,C$2))</f>
        <v/>
      </c>
      <c r="D208" t="str">
        <f>IF(OR($A208="",D$2=""),"",SUMIFS('Sales Log'!$G$3:$G$2002,'Sales Log'!$A$3:$A$2002,$A208,'Sales Log'!$B$3:$B$2002,D$2))</f>
        <v/>
      </c>
      <c r="E208" t="str">
        <f>IF(OR($A208="",E$2=""),"",SUMIFS('Sales Log'!$G$3:$G$2002,'Sales Log'!$A$3:$A$2002,$A208,'Sales Log'!$B$3:$B$2002,E$2))</f>
        <v/>
      </c>
      <c r="F208" t="str">
        <f t="shared" si="3"/>
        <v/>
      </c>
    </row>
    <row r="209" spans="2:6">
      <c r="B209" t="str">
        <f>IF(OR($A209="",B$2=""),"",SUMIFS('Sales Log'!$G$3:$G$2002,'Sales Log'!$A$3:$A$2002,$A209,'Sales Log'!$B$3:$B$2002,B$2))</f>
        <v/>
      </c>
      <c r="C209" t="str">
        <f>IF(OR($A209="",C$2=""),"",SUMIFS('Sales Log'!$G$3:$G$2002,'Sales Log'!$A$3:$A$2002,$A209,'Sales Log'!$B$3:$B$2002,C$2))</f>
        <v/>
      </c>
      <c r="D209" t="str">
        <f>IF(OR($A209="",D$2=""),"",SUMIFS('Sales Log'!$G$3:$G$2002,'Sales Log'!$A$3:$A$2002,$A209,'Sales Log'!$B$3:$B$2002,D$2))</f>
        <v/>
      </c>
      <c r="E209" t="str">
        <f>IF(OR($A209="",E$2=""),"",SUMIFS('Sales Log'!$G$3:$G$2002,'Sales Log'!$A$3:$A$2002,$A209,'Sales Log'!$B$3:$B$2002,E$2))</f>
        <v/>
      </c>
      <c r="F209" t="str">
        <f t="shared" si="3"/>
        <v/>
      </c>
    </row>
    <row r="210" spans="2:6">
      <c r="B210" t="str">
        <f>IF(OR($A210="",B$2=""),"",SUMIFS('Sales Log'!$G$3:$G$2002,'Sales Log'!$A$3:$A$2002,$A210,'Sales Log'!$B$3:$B$2002,B$2))</f>
        <v/>
      </c>
      <c r="C210" t="str">
        <f>IF(OR($A210="",C$2=""),"",SUMIFS('Sales Log'!$G$3:$G$2002,'Sales Log'!$A$3:$A$2002,$A210,'Sales Log'!$B$3:$B$2002,C$2))</f>
        <v/>
      </c>
      <c r="D210" t="str">
        <f>IF(OR($A210="",D$2=""),"",SUMIFS('Sales Log'!$G$3:$G$2002,'Sales Log'!$A$3:$A$2002,$A210,'Sales Log'!$B$3:$B$2002,D$2))</f>
        <v/>
      </c>
      <c r="E210" t="str">
        <f>IF(OR($A210="",E$2=""),"",SUMIFS('Sales Log'!$G$3:$G$2002,'Sales Log'!$A$3:$A$2002,$A210,'Sales Log'!$B$3:$B$2002,E$2))</f>
        <v/>
      </c>
      <c r="F210" t="str">
        <f t="shared" si="3"/>
        <v/>
      </c>
    </row>
    <row r="211" spans="2:6">
      <c r="B211" t="str">
        <f>IF(OR($A211="",B$2=""),"",SUMIFS('Sales Log'!$G$3:$G$2002,'Sales Log'!$A$3:$A$2002,$A211,'Sales Log'!$B$3:$B$2002,B$2))</f>
        <v/>
      </c>
      <c r="C211" t="str">
        <f>IF(OR($A211="",C$2=""),"",SUMIFS('Sales Log'!$G$3:$G$2002,'Sales Log'!$A$3:$A$2002,$A211,'Sales Log'!$B$3:$B$2002,C$2))</f>
        <v/>
      </c>
      <c r="D211" t="str">
        <f>IF(OR($A211="",D$2=""),"",SUMIFS('Sales Log'!$G$3:$G$2002,'Sales Log'!$A$3:$A$2002,$A211,'Sales Log'!$B$3:$B$2002,D$2))</f>
        <v/>
      </c>
      <c r="E211" t="str">
        <f>IF(OR($A211="",E$2=""),"",SUMIFS('Sales Log'!$G$3:$G$2002,'Sales Log'!$A$3:$A$2002,$A211,'Sales Log'!$B$3:$B$2002,E$2))</f>
        <v/>
      </c>
      <c r="F211" t="str">
        <f t="shared" si="3"/>
        <v/>
      </c>
    </row>
    <row r="212" spans="2:6">
      <c r="B212" t="str">
        <f>IF(OR($A212="",B$2=""),"",SUMIFS('Sales Log'!$G$3:$G$2002,'Sales Log'!$A$3:$A$2002,$A212,'Sales Log'!$B$3:$B$2002,B$2))</f>
        <v/>
      </c>
      <c r="C212" t="str">
        <f>IF(OR($A212="",C$2=""),"",SUMIFS('Sales Log'!$G$3:$G$2002,'Sales Log'!$A$3:$A$2002,$A212,'Sales Log'!$B$3:$B$2002,C$2))</f>
        <v/>
      </c>
      <c r="D212" t="str">
        <f>IF(OR($A212="",D$2=""),"",SUMIFS('Sales Log'!$G$3:$G$2002,'Sales Log'!$A$3:$A$2002,$A212,'Sales Log'!$B$3:$B$2002,D$2))</f>
        <v/>
      </c>
      <c r="E212" t="str">
        <f>IF(OR($A212="",E$2=""),"",SUMIFS('Sales Log'!$G$3:$G$2002,'Sales Log'!$A$3:$A$2002,$A212,'Sales Log'!$B$3:$B$2002,E$2))</f>
        <v/>
      </c>
      <c r="F212" t="str">
        <f t="shared" si="3"/>
        <v/>
      </c>
    </row>
    <row r="213" spans="2:6">
      <c r="B213" t="str">
        <f>IF(OR($A213="",B$2=""),"",SUMIFS('Sales Log'!$G$3:$G$2002,'Sales Log'!$A$3:$A$2002,$A213,'Sales Log'!$B$3:$B$2002,B$2))</f>
        <v/>
      </c>
      <c r="C213" t="str">
        <f>IF(OR($A213="",C$2=""),"",SUMIFS('Sales Log'!$G$3:$G$2002,'Sales Log'!$A$3:$A$2002,$A213,'Sales Log'!$B$3:$B$2002,C$2))</f>
        <v/>
      </c>
      <c r="D213" t="str">
        <f>IF(OR($A213="",D$2=""),"",SUMIFS('Sales Log'!$G$3:$G$2002,'Sales Log'!$A$3:$A$2002,$A213,'Sales Log'!$B$3:$B$2002,D$2))</f>
        <v/>
      </c>
      <c r="E213" t="str">
        <f>IF(OR($A213="",E$2=""),"",SUMIFS('Sales Log'!$G$3:$G$2002,'Sales Log'!$A$3:$A$2002,$A213,'Sales Log'!$B$3:$B$2002,E$2))</f>
        <v/>
      </c>
      <c r="F213" t="str">
        <f t="shared" si="3"/>
        <v/>
      </c>
    </row>
    <row r="214" spans="2:6">
      <c r="B214" t="str">
        <f>IF(OR($A214="",B$2=""),"",SUMIFS('Sales Log'!$G$3:$G$2002,'Sales Log'!$A$3:$A$2002,$A214,'Sales Log'!$B$3:$B$2002,B$2))</f>
        <v/>
      </c>
      <c r="C214" t="str">
        <f>IF(OR($A214="",C$2=""),"",SUMIFS('Sales Log'!$G$3:$G$2002,'Sales Log'!$A$3:$A$2002,$A214,'Sales Log'!$B$3:$B$2002,C$2))</f>
        <v/>
      </c>
      <c r="D214" t="str">
        <f>IF(OR($A214="",D$2=""),"",SUMIFS('Sales Log'!$G$3:$G$2002,'Sales Log'!$A$3:$A$2002,$A214,'Sales Log'!$B$3:$B$2002,D$2))</f>
        <v/>
      </c>
      <c r="E214" t="str">
        <f>IF(OR($A214="",E$2=""),"",SUMIFS('Sales Log'!$G$3:$G$2002,'Sales Log'!$A$3:$A$2002,$A214,'Sales Log'!$B$3:$B$2002,E$2))</f>
        <v/>
      </c>
      <c r="F214" t="str">
        <f t="shared" si="3"/>
        <v/>
      </c>
    </row>
    <row r="215" spans="2:6">
      <c r="B215" t="str">
        <f>IF(OR($A215="",B$2=""),"",SUMIFS('Sales Log'!$G$3:$G$2002,'Sales Log'!$A$3:$A$2002,$A215,'Sales Log'!$B$3:$B$2002,B$2))</f>
        <v/>
      </c>
      <c r="C215" t="str">
        <f>IF(OR($A215="",C$2=""),"",SUMIFS('Sales Log'!$G$3:$G$2002,'Sales Log'!$A$3:$A$2002,$A215,'Sales Log'!$B$3:$B$2002,C$2))</f>
        <v/>
      </c>
      <c r="D215" t="str">
        <f>IF(OR($A215="",D$2=""),"",SUMIFS('Sales Log'!$G$3:$G$2002,'Sales Log'!$A$3:$A$2002,$A215,'Sales Log'!$B$3:$B$2002,D$2))</f>
        <v/>
      </c>
      <c r="E215" t="str">
        <f>IF(OR($A215="",E$2=""),"",SUMIFS('Sales Log'!$G$3:$G$2002,'Sales Log'!$A$3:$A$2002,$A215,'Sales Log'!$B$3:$B$2002,E$2))</f>
        <v/>
      </c>
      <c r="F215" t="str">
        <f t="shared" si="3"/>
        <v/>
      </c>
    </row>
    <row r="216" spans="2:6">
      <c r="B216" t="str">
        <f>IF(OR($A216="",B$2=""),"",SUMIFS('Sales Log'!$G$3:$G$2002,'Sales Log'!$A$3:$A$2002,$A216,'Sales Log'!$B$3:$B$2002,B$2))</f>
        <v/>
      </c>
      <c r="C216" t="str">
        <f>IF(OR($A216="",C$2=""),"",SUMIFS('Sales Log'!$G$3:$G$2002,'Sales Log'!$A$3:$A$2002,$A216,'Sales Log'!$B$3:$B$2002,C$2))</f>
        <v/>
      </c>
      <c r="D216" t="str">
        <f>IF(OR($A216="",D$2=""),"",SUMIFS('Sales Log'!$G$3:$G$2002,'Sales Log'!$A$3:$A$2002,$A216,'Sales Log'!$B$3:$B$2002,D$2))</f>
        <v/>
      </c>
      <c r="E216" t="str">
        <f>IF(OR($A216="",E$2=""),"",SUMIFS('Sales Log'!$G$3:$G$2002,'Sales Log'!$A$3:$A$2002,$A216,'Sales Log'!$B$3:$B$2002,E$2))</f>
        <v/>
      </c>
      <c r="F216" t="str">
        <f t="shared" si="3"/>
        <v/>
      </c>
    </row>
    <row r="217" spans="2:6">
      <c r="B217" t="str">
        <f>IF(OR($A217="",B$2=""),"",SUMIFS('Sales Log'!$G$3:$G$2002,'Sales Log'!$A$3:$A$2002,$A217,'Sales Log'!$B$3:$B$2002,B$2))</f>
        <v/>
      </c>
      <c r="C217" t="str">
        <f>IF(OR($A217="",C$2=""),"",SUMIFS('Sales Log'!$G$3:$G$2002,'Sales Log'!$A$3:$A$2002,$A217,'Sales Log'!$B$3:$B$2002,C$2))</f>
        <v/>
      </c>
      <c r="D217" t="str">
        <f>IF(OR($A217="",D$2=""),"",SUMIFS('Sales Log'!$G$3:$G$2002,'Sales Log'!$A$3:$A$2002,$A217,'Sales Log'!$B$3:$B$2002,D$2))</f>
        <v/>
      </c>
      <c r="E217" t="str">
        <f>IF(OR($A217="",E$2=""),"",SUMIFS('Sales Log'!$G$3:$G$2002,'Sales Log'!$A$3:$A$2002,$A217,'Sales Log'!$B$3:$B$2002,E$2))</f>
        <v/>
      </c>
      <c r="F217" t="str">
        <f t="shared" si="3"/>
        <v/>
      </c>
    </row>
    <row r="218" spans="2:6">
      <c r="B218" t="str">
        <f>IF(OR($A218="",B$2=""),"",SUMIFS('Sales Log'!$G$3:$G$2002,'Sales Log'!$A$3:$A$2002,$A218,'Sales Log'!$B$3:$B$2002,B$2))</f>
        <v/>
      </c>
      <c r="C218" t="str">
        <f>IF(OR($A218="",C$2=""),"",SUMIFS('Sales Log'!$G$3:$G$2002,'Sales Log'!$A$3:$A$2002,$A218,'Sales Log'!$B$3:$B$2002,C$2))</f>
        <v/>
      </c>
      <c r="D218" t="str">
        <f>IF(OR($A218="",D$2=""),"",SUMIFS('Sales Log'!$G$3:$G$2002,'Sales Log'!$A$3:$A$2002,$A218,'Sales Log'!$B$3:$B$2002,D$2))</f>
        <v/>
      </c>
      <c r="E218" t="str">
        <f>IF(OR($A218="",E$2=""),"",SUMIFS('Sales Log'!$G$3:$G$2002,'Sales Log'!$A$3:$A$2002,$A218,'Sales Log'!$B$3:$B$2002,E$2))</f>
        <v/>
      </c>
      <c r="F218" t="str">
        <f t="shared" si="3"/>
        <v/>
      </c>
    </row>
    <row r="219" spans="2:6">
      <c r="B219" t="str">
        <f>IF(OR($A219="",B$2=""),"",SUMIFS('Sales Log'!$G$3:$G$2002,'Sales Log'!$A$3:$A$2002,$A219,'Sales Log'!$B$3:$B$2002,B$2))</f>
        <v/>
      </c>
      <c r="C219" t="str">
        <f>IF(OR($A219="",C$2=""),"",SUMIFS('Sales Log'!$G$3:$G$2002,'Sales Log'!$A$3:$A$2002,$A219,'Sales Log'!$B$3:$B$2002,C$2))</f>
        <v/>
      </c>
      <c r="D219" t="str">
        <f>IF(OR($A219="",D$2=""),"",SUMIFS('Sales Log'!$G$3:$G$2002,'Sales Log'!$A$3:$A$2002,$A219,'Sales Log'!$B$3:$B$2002,D$2))</f>
        <v/>
      </c>
      <c r="E219" t="str">
        <f>IF(OR($A219="",E$2=""),"",SUMIFS('Sales Log'!$G$3:$G$2002,'Sales Log'!$A$3:$A$2002,$A219,'Sales Log'!$B$3:$B$2002,E$2))</f>
        <v/>
      </c>
      <c r="F219" t="str">
        <f t="shared" si="3"/>
        <v/>
      </c>
    </row>
    <row r="220" spans="2:6">
      <c r="B220" t="str">
        <f>IF(OR($A220="",B$2=""),"",SUMIFS('Sales Log'!$G$3:$G$2002,'Sales Log'!$A$3:$A$2002,$A220,'Sales Log'!$B$3:$B$2002,B$2))</f>
        <v/>
      </c>
      <c r="C220" t="str">
        <f>IF(OR($A220="",C$2=""),"",SUMIFS('Sales Log'!$G$3:$G$2002,'Sales Log'!$A$3:$A$2002,$A220,'Sales Log'!$B$3:$B$2002,C$2))</f>
        <v/>
      </c>
      <c r="D220" t="str">
        <f>IF(OR($A220="",D$2=""),"",SUMIFS('Sales Log'!$G$3:$G$2002,'Sales Log'!$A$3:$A$2002,$A220,'Sales Log'!$B$3:$B$2002,D$2))</f>
        <v/>
      </c>
      <c r="E220" t="str">
        <f>IF(OR($A220="",E$2=""),"",SUMIFS('Sales Log'!$G$3:$G$2002,'Sales Log'!$A$3:$A$2002,$A220,'Sales Log'!$B$3:$B$2002,E$2))</f>
        <v/>
      </c>
      <c r="F220" t="str">
        <f t="shared" si="3"/>
        <v/>
      </c>
    </row>
    <row r="221" spans="2:6">
      <c r="B221" t="str">
        <f>IF(OR($A221="",B$2=""),"",SUMIFS('Sales Log'!$G$3:$G$2002,'Sales Log'!$A$3:$A$2002,$A221,'Sales Log'!$B$3:$B$2002,B$2))</f>
        <v/>
      </c>
      <c r="C221" t="str">
        <f>IF(OR($A221="",C$2=""),"",SUMIFS('Sales Log'!$G$3:$G$2002,'Sales Log'!$A$3:$A$2002,$A221,'Sales Log'!$B$3:$B$2002,C$2))</f>
        <v/>
      </c>
      <c r="D221" t="str">
        <f>IF(OR($A221="",D$2=""),"",SUMIFS('Sales Log'!$G$3:$G$2002,'Sales Log'!$A$3:$A$2002,$A221,'Sales Log'!$B$3:$B$2002,D$2))</f>
        <v/>
      </c>
      <c r="E221" t="str">
        <f>IF(OR($A221="",E$2=""),"",SUMIFS('Sales Log'!$G$3:$G$2002,'Sales Log'!$A$3:$A$2002,$A221,'Sales Log'!$B$3:$B$2002,E$2))</f>
        <v/>
      </c>
      <c r="F221" t="str">
        <f t="shared" si="3"/>
        <v/>
      </c>
    </row>
    <row r="222" spans="2:6">
      <c r="B222" t="str">
        <f>IF(OR($A222="",B$2=""),"",SUMIFS('Sales Log'!$G$3:$G$2002,'Sales Log'!$A$3:$A$2002,$A222,'Sales Log'!$B$3:$B$2002,B$2))</f>
        <v/>
      </c>
      <c r="C222" t="str">
        <f>IF(OR($A222="",C$2=""),"",SUMIFS('Sales Log'!$G$3:$G$2002,'Sales Log'!$A$3:$A$2002,$A222,'Sales Log'!$B$3:$B$2002,C$2))</f>
        <v/>
      </c>
      <c r="D222" t="str">
        <f>IF(OR($A222="",D$2=""),"",SUMIFS('Sales Log'!$G$3:$G$2002,'Sales Log'!$A$3:$A$2002,$A222,'Sales Log'!$B$3:$B$2002,D$2))</f>
        <v/>
      </c>
      <c r="E222" t="str">
        <f>IF(OR($A222="",E$2=""),"",SUMIFS('Sales Log'!$G$3:$G$2002,'Sales Log'!$A$3:$A$2002,$A222,'Sales Log'!$B$3:$B$2002,E$2))</f>
        <v/>
      </c>
      <c r="F222" t="str">
        <f t="shared" si="3"/>
        <v/>
      </c>
    </row>
    <row r="223" spans="2:6">
      <c r="B223" t="str">
        <f>IF(OR($A223="",B$2=""),"",SUMIFS('Sales Log'!$G$3:$G$2002,'Sales Log'!$A$3:$A$2002,$A223,'Sales Log'!$B$3:$B$2002,B$2))</f>
        <v/>
      </c>
      <c r="C223" t="str">
        <f>IF(OR($A223="",C$2=""),"",SUMIFS('Sales Log'!$G$3:$G$2002,'Sales Log'!$A$3:$A$2002,$A223,'Sales Log'!$B$3:$B$2002,C$2))</f>
        <v/>
      </c>
      <c r="D223" t="str">
        <f>IF(OR($A223="",D$2=""),"",SUMIFS('Sales Log'!$G$3:$G$2002,'Sales Log'!$A$3:$A$2002,$A223,'Sales Log'!$B$3:$B$2002,D$2))</f>
        <v/>
      </c>
      <c r="E223" t="str">
        <f>IF(OR($A223="",E$2=""),"",SUMIFS('Sales Log'!$G$3:$G$2002,'Sales Log'!$A$3:$A$2002,$A223,'Sales Log'!$B$3:$B$2002,E$2))</f>
        <v/>
      </c>
      <c r="F223" t="str">
        <f t="shared" si="3"/>
        <v/>
      </c>
    </row>
    <row r="224" spans="2:6">
      <c r="B224" t="str">
        <f>IF(OR($A224="",B$2=""),"",SUMIFS('Sales Log'!$G$3:$G$2002,'Sales Log'!$A$3:$A$2002,$A224,'Sales Log'!$B$3:$B$2002,B$2))</f>
        <v/>
      </c>
      <c r="C224" t="str">
        <f>IF(OR($A224="",C$2=""),"",SUMIFS('Sales Log'!$G$3:$G$2002,'Sales Log'!$A$3:$A$2002,$A224,'Sales Log'!$B$3:$B$2002,C$2))</f>
        <v/>
      </c>
      <c r="D224" t="str">
        <f>IF(OR($A224="",D$2=""),"",SUMIFS('Sales Log'!$G$3:$G$2002,'Sales Log'!$A$3:$A$2002,$A224,'Sales Log'!$B$3:$B$2002,D$2))</f>
        <v/>
      </c>
      <c r="E224" t="str">
        <f>IF(OR($A224="",E$2=""),"",SUMIFS('Sales Log'!$G$3:$G$2002,'Sales Log'!$A$3:$A$2002,$A224,'Sales Log'!$B$3:$B$2002,E$2))</f>
        <v/>
      </c>
      <c r="F224" t="str">
        <f t="shared" si="3"/>
        <v/>
      </c>
    </row>
    <row r="225" spans="2:6">
      <c r="B225" t="str">
        <f>IF(OR($A225="",B$2=""),"",SUMIFS('Sales Log'!$G$3:$G$2002,'Sales Log'!$A$3:$A$2002,$A225,'Sales Log'!$B$3:$B$2002,B$2))</f>
        <v/>
      </c>
      <c r="C225" t="str">
        <f>IF(OR($A225="",C$2=""),"",SUMIFS('Sales Log'!$G$3:$G$2002,'Sales Log'!$A$3:$A$2002,$A225,'Sales Log'!$B$3:$B$2002,C$2))</f>
        <v/>
      </c>
      <c r="D225" t="str">
        <f>IF(OR($A225="",D$2=""),"",SUMIFS('Sales Log'!$G$3:$G$2002,'Sales Log'!$A$3:$A$2002,$A225,'Sales Log'!$B$3:$B$2002,D$2))</f>
        <v/>
      </c>
      <c r="E225" t="str">
        <f>IF(OR($A225="",E$2=""),"",SUMIFS('Sales Log'!$G$3:$G$2002,'Sales Log'!$A$3:$A$2002,$A225,'Sales Log'!$B$3:$B$2002,E$2))</f>
        <v/>
      </c>
      <c r="F225" t="str">
        <f t="shared" si="3"/>
        <v/>
      </c>
    </row>
    <row r="226" spans="2:6">
      <c r="B226" t="str">
        <f>IF(OR($A226="",B$2=""),"",SUMIFS('Sales Log'!$G$3:$G$2002,'Sales Log'!$A$3:$A$2002,$A226,'Sales Log'!$B$3:$B$2002,B$2))</f>
        <v/>
      </c>
      <c r="C226" t="str">
        <f>IF(OR($A226="",C$2=""),"",SUMIFS('Sales Log'!$G$3:$G$2002,'Sales Log'!$A$3:$A$2002,$A226,'Sales Log'!$B$3:$B$2002,C$2))</f>
        <v/>
      </c>
      <c r="D226" t="str">
        <f>IF(OR($A226="",D$2=""),"",SUMIFS('Sales Log'!$G$3:$G$2002,'Sales Log'!$A$3:$A$2002,$A226,'Sales Log'!$B$3:$B$2002,D$2))</f>
        <v/>
      </c>
      <c r="E226" t="str">
        <f>IF(OR($A226="",E$2=""),"",SUMIFS('Sales Log'!$G$3:$G$2002,'Sales Log'!$A$3:$A$2002,$A226,'Sales Log'!$B$3:$B$2002,E$2))</f>
        <v/>
      </c>
      <c r="F226" t="str">
        <f t="shared" si="3"/>
        <v/>
      </c>
    </row>
    <row r="227" spans="2:6">
      <c r="B227" t="str">
        <f>IF(OR($A227="",B$2=""),"",SUMIFS('Sales Log'!$G$3:$G$2002,'Sales Log'!$A$3:$A$2002,$A227,'Sales Log'!$B$3:$B$2002,B$2))</f>
        <v/>
      </c>
      <c r="C227" t="str">
        <f>IF(OR($A227="",C$2=""),"",SUMIFS('Sales Log'!$G$3:$G$2002,'Sales Log'!$A$3:$A$2002,$A227,'Sales Log'!$B$3:$B$2002,C$2))</f>
        <v/>
      </c>
      <c r="D227" t="str">
        <f>IF(OR($A227="",D$2=""),"",SUMIFS('Sales Log'!$G$3:$G$2002,'Sales Log'!$A$3:$A$2002,$A227,'Sales Log'!$B$3:$B$2002,D$2))</f>
        <v/>
      </c>
      <c r="E227" t="str">
        <f>IF(OR($A227="",E$2=""),"",SUMIFS('Sales Log'!$G$3:$G$2002,'Sales Log'!$A$3:$A$2002,$A227,'Sales Log'!$B$3:$B$2002,E$2))</f>
        <v/>
      </c>
      <c r="F227" t="str">
        <f t="shared" si="3"/>
        <v/>
      </c>
    </row>
    <row r="228" spans="2:6">
      <c r="B228" t="str">
        <f>IF(OR($A228="",B$2=""),"",SUMIFS('Sales Log'!$G$3:$G$2002,'Sales Log'!$A$3:$A$2002,$A228,'Sales Log'!$B$3:$B$2002,B$2))</f>
        <v/>
      </c>
      <c r="C228" t="str">
        <f>IF(OR($A228="",C$2=""),"",SUMIFS('Sales Log'!$G$3:$G$2002,'Sales Log'!$A$3:$A$2002,$A228,'Sales Log'!$B$3:$B$2002,C$2))</f>
        <v/>
      </c>
      <c r="D228" t="str">
        <f>IF(OR($A228="",D$2=""),"",SUMIFS('Sales Log'!$G$3:$G$2002,'Sales Log'!$A$3:$A$2002,$A228,'Sales Log'!$B$3:$B$2002,D$2))</f>
        <v/>
      </c>
      <c r="E228" t="str">
        <f>IF(OR($A228="",E$2=""),"",SUMIFS('Sales Log'!$G$3:$G$2002,'Sales Log'!$A$3:$A$2002,$A228,'Sales Log'!$B$3:$B$2002,E$2))</f>
        <v/>
      </c>
      <c r="F228" t="str">
        <f t="shared" si="3"/>
        <v/>
      </c>
    </row>
    <row r="229" spans="2:6">
      <c r="B229" t="str">
        <f>IF(OR($A229="",B$2=""),"",SUMIFS('Sales Log'!$G$3:$G$2002,'Sales Log'!$A$3:$A$2002,$A229,'Sales Log'!$B$3:$B$2002,B$2))</f>
        <v/>
      </c>
      <c r="C229" t="str">
        <f>IF(OR($A229="",C$2=""),"",SUMIFS('Sales Log'!$G$3:$G$2002,'Sales Log'!$A$3:$A$2002,$A229,'Sales Log'!$B$3:$B$2002,C$2))</f>
        <v/>
      </c>
      <c r="D229" t="str">
        <f>IF(OR($A229="",D$2=""),"",SUMIFS('Sales Log'!$G$3:$G$2002,'Sales Log'!$A$3:$A$2002,$A229,'Sales Log'!$B$3:$B$2002,D$2))</f>
        <v/>
      </c>
      <c r="E229" t="str">
        <f>IF(OR($A229="",E$2=""),"",SUMIFS('Sales Log'!$G$3:$G$2002,'Sales Log'!$A$3:$A$2002,$A229,'Sales Log'!$B$3:$B$2002,E$2))</f>
        <v/>
      </c>
      <c r="F229" t="str">
        <f t="shared" si="3"/>
        <v/>
      </c>
    </row>
    <row r="230" spans="2:6">
      <c r="B230" t="str">
        <f>IF(OR($A230="",B$2=""),"",SUMIFS('Sales Log'!$G$3:$G$2002,'Sales Log'!$A$3:$A$2002,$A230,'Sales Log'!$B$3:$B$2002,B$2))</f>
        <v/>
      </c>
      <c r="C230" t="str">
        <f>IF(OR($A230="",C$2=""),"",SUMIFS('Sales Log'!$G$3:$G$2002,'Sales Log'!$A$3:$A$2002,$A230,'Sales Log'!$B$3:$B$2002,C$2))</f>
        <v/>
      </c>
      <c r="D230" t="str">
        <f>IF(OR($A230="",D$2=""),"",SUMIFS('Sales Log'!$G$3:$G$2002,'Sales Log'!$A$3:$A$2002,$A230,'Sales Log'!$B$3:$B$2002,D$2))</f>
        <v/>
      </c>
      <c r="E230" t="str">
        <f>IF(OR($A230="",E$2=""),"",SUMIFS('Sales Log'!$G$3:$G$2002,'Sales Log'!$A$3:$A$2002,$A230,'Sales Log'!$B$3:$B$2002,E$2))</f>
        <v/>
      </c>
      <c r="F230" t="str">
        <f t="shared" si="3"/>
        <v/>
      </c>
    </row>
    <row r="231" spans="2:6">
      <c r="B231" t="str">
        <f>IF(OR($A231="",B$2=""),"",SUMIFS('Sales Log'!$G$3:$G$2002,'Sales Log'!$A$3:$A$2002,$A231,'Sales Log'!$B$3:$B$2002,B$2))</f>
        <v/>
      </c>
      <c r="C231" t="str">
        <f>IF(OR($A231="",C$2=""),"",SUMIFS('Sales Log'!$G$3:$G$2002,'Sales Log'!$A$3:$A$2002,$A231,'Sales Log'!$B$3:$B$2002,C$2))</f>
        <v/>
      </c>
      <c r="D231" t="str">
        <f>IF(OR($A231="",D$2=""),"",SUMIFS('Sales Log'!$G$3:$G$2002,'Sales Log'!$A$3:$A$2002,$A231,'Sales Log'!$B$3:$B$2002,D$2))</f>
        <v/>
      </c>
      <c r="E231" t="str">
        <f>IF(OR($A231="",E$2=""),"",SUMIFS('Sales Log'!$G$3:$G$2002,'Sales Log'!$A$3:$A$2002,$A231,'Sales Log'!$B$3:$B$2002,E$2))</f>
        <v/>
      </c>
      <c r="F231" t="str">
        <f t="shared" si="3"/>
        <v/>
      </c>
    </row>
    <row r="232" spans="2:6">
      <c r="B232" t="str">
        <f>IF(OR($A232="",B$2=""),"",SUMIFS('Sales Log'!$G$3:$G$2002,'Sales Log'!$A$3:$A$2002,$A232,'Sales Log'!$B$3:$B$2002,B$2))</f>
        <v/>
      </c>
      <c r="C232" t="str">
        <f>IF(OR($A232="",C$2=""),"",SUMIFS('Sales Log'!$G$3:$G$2002,'Sales Log'!$A$3:$A$2002,$A232,'Sales Log'!$B$3:$B$2002,C$2))</f>
        <v/>
      </c>
      <c r="D232" t="str">
        <f>IF(OR($A232="",D$2=""),"",SUMIFS('Sales Log'!$G$3:$G$2002,'Sales Log'!$A$3:$A$2002,$A232,'Sales Log'!$B$3:$B$2002,D$2))</f>
        <v/>
      </c>
      <c r="E232" t="str">
        <f>IF(OR($A232="",E$2=""),"",SUMIFS('Sales Log'!$G$3:$G$2002,'Sales Log'!$A$3:$A$2002,$A232,'Sales Log'!$B$3:$B$2002,E$2))</f>
        <v/>
      </c>
      <c r="F232" t="str">
        <f t="shared" si="3"/>
        <v/>
      </c>
    </row>
    <row r="233" spans="2:6">
      <c r="B233" t="str">
        <f>IF(OR($A233="",B$2=""),"",SUMIFS('Sales Log'!$G$3:$G$2002,'Sales Log'!$A$3:$A$2002,$A233,'Sales Log'!$B$3:$B$2002,B$2))</f>
        <v/>
      </c>
      <c r="C233" t="str">
        <f>IF(OR($A233="",C$2=""),"",SUMIFS('Sales Log'!$G$3:$G$2002,'Sales Log'!$A$3:$A$2002,$A233,'Sales Log'!$B$3:$B$2002,C$2))</f>
        <v/>
      </c>
      <c r="D233" t="str">
        <f>IF(OR($A233="",D$2=""),"",SUMIFS('Sales Log'!$G$3:$G$2002,'Sales Log'!$A$3:$A$2002,$A233,'Sales Log'!$B$3:$B$2002,D$2))</f>
        <v/>
      </c>
      <c r="E233" t="str">
        <f>IF(OR($A233="",E$2=""),"",SUMIFS('Sales Log'!$G$3:$G$2002,'Sales Log'!$A$3:$A$2002,$A233,'Sales Log'!$B$3:$B$2002,E$2))</f>
        <v/>
      </c>
      <c r="F233" t="str">
        <f t="shared" si="3"/>
        <v/>
      </c>
    </row>
    <row r="234" spans="2:6">
      <c r="B234" t="str">
        <f>IF(OR($A234="",B$2=""),"",SUMIFS('Sales Log'!$G$3:$G$2002,'Sales Log'!$A$3:$A$2002,$A234,'Sales Log'!$B$3:$B$2002,B$2))</f>
        <v/>
      </c>
      <c r="C234" t="str">
        <f>IF(OR($A234="",C$2=""),"",SUMIFS('Sales Log'!$G$3:$G$2002,'Sales Log'!$A$3:$A$2002,$A234,'Sales Log'!$B$3:$B$2002,C$2))</f>
        <v/>
      </c>
      <c r="D234" t="str">
        <f>IF(OR($A234="",D$2=""),"",SUMIFS('Sales Log'!$G$3:$G$2002,'Sales Log'!$A$3:$A$2002,$A234,'Sales Log'!$B$3:$B$2002,D$2))</f>
        <v/>
      </c>
      <c r="E234" t="str">
        <f>IF(OR($A234="",E$2=""),"",SUMIFS('Sales Log'!$G$3:$G$2002,'Sales Log'!$A$3:$A$2002,$A234,'Sales Log'!$B$3:$B$2002,E$2))</f>
        <v/>
      </c>
      <c r="F234" t="str">
        <f t="shared" si="3"/>
        <v/>
      </c>
    </row>
    <row r="235" spans="2:6">
      <c r="B235" t="str">
        <f>IF(OR($A235="",B$2=""),"",SUMIFS('Sales Log'!$G$3:$G$2002,'Sales Log'!$A$3:$A$2002,$A235,'Sales Log'!$B$3:$B$2002,B$2))</f>
        <v/>
      </c>
      <c r="C235" t="str">
        <f>IF(OR($A235="",C$2=""),"",SUMIFS('Sales Log'!$G$3:$G$2002,'Sales Log'!$A$3:$A$2002,$A235,'Sales Log'!$B$3:$B$2002,C$2))</f>
        <v/>
      </c>
      <c r="D235" t="str">
        <f>IF(OR($A235="",D$2=""),"",SUMIFS('Sales Log'!$G$3:$G$2002,'Sales Log'!$A$3:$A$2002,$A235,'Sales Log'!$B$3:$B$2002,D$2))</f>
        <v/>
      </c>
      <c r="E235" t="str">
        <f>IF(OR($A235="",E$2=""),"",SUMIFS('Sales Log'!$G$3:$G$2002,'Sales Log'!$A$3:$A$2002,$A235,'Sales Log'!$B$3:$B$2002,E$2))</f>
        <v/>
      </c>
      <c r="F235" t="str">
        <f t="shared" si="3"/>
        <v/>
      </c>
    </row>
    <row r="236" spans="2:6">
      <c r="B236" t="str">
        <f>IF(OR($A236="",B$2=""),"",SUMIFS('Sales Log'!$G$3:$G$2002,'Sales Log'!$A$3:$A$2002,$A236,'Sales Log'!$B$3:$B$2002,B$2))</f>
        <v/>
      </c>
      <c r="C236" t="str">
        <f>IF(OR($A236="",C$2=""),"",SUMIFS('Sales Log'!$G$3:$G$2002,'Sales Log'!$A$3:$A$2002,$A236,'Sales Log'!$B$3:$B$2002,C$2))</f>
        <v/>
      </c>
      <c r="D236" t="str">
        <f>IF(OR($A236="",D$2=""),"",SUMIFS('Sales Log'!$G$3:$G$2002,'Sales Log'!$A$3:$A$2002,$A236,'Sales Log'!$B$3:$B$2002,D$2))</f>
        <v/>
      </c>
      <c r="E236" t="str">
        <f>IF(OR($A236="",E$2=""),"",SUMIFS('Sales Log'!$G$3:$G$2002,'Sales Log'!$A$3:$A$2002,$A236,'Sales Log'!$B$3:$B$2002,E$2))</f>
        <v/>
      </c>
      <c r="F236" t="str">
        <f t="shared" si="3"/>
        <v/>
      </c>
    </row>
    <row r="237" spans="2:6">
      <c r="B237" t="str">
        <f>IF(OR($A237="",B$2=""),"",SUMIFS('Sales Log'!$G$3:$G$2002,'Sales Log'!$A$3:$A$2002,$A237,'Sales Log'!$B$3:$B$2002,B$2))</f>
        <v/>
      </c>
      <c r="C237" t="str">
        <f>IF(OR($A237="",C$2=""),"",SUMIFS('Sales Log'!$G$3:$G$2002,'Sales Log'!$A$3:$A$2002,$A237,'Sales Log'!$B$3:$B$2002,C$2))</f>
        <v/>
      </c>
      <c r="D237" t="str">
        <f>IF(OR($A237="",D$2=""),"",SUMIFS('Sales Log'!$G$3:$G$2002,'Sales Log'!$A$3:$A$2002,$A237,'Sales Log'!$B$3:$B$2002,D$2))</f>
        <v/>
      </c>
      <c r="E237" t="str">
        <f>IF(OR($A237="",E$2=""),"",SUMIFS('Sales Log'!$G$3:$G$2002,'Sales Log'!$A$3:$A$2002,$A237,'Sales Log'!$B$3:$B$2002,E$2))</f>
        <v/>
      </c>
      <c r="F237" t="str">
        <f t="shared" si="3"/>
        <v/>
      </c>
    </row>
    <row r="238" spans="2:6">
      <c r="B238" t="str">
        <f>IF(OR($A238="",B$2=""),"",SUMIFS('Sales Log'!$G$3:$G$2002,'Sales Log'!$A$3:$A$2002,$A238,'Sales Log'!$B$3:$B$2002,B$2))</f>
        <v/>
      </c>
      <c r="C238" t="str">
        <f>IF(OR($A238="",C$2=""),"",SUMIFS('Sales Log'!$G$3:$G$2002,'Sales Log'!$A$3:$A$2002,$A238,'Sales Log'!$B$3:$B$2002,C$2))</f>
        <v/>
      </c>
      <c r="D238" t="str">
        <f>IF(OR($A238="",D$2=""),"",SUMIFS('Sales Log'!$G$3:$G$2002,'Sales Log'!$A$3:$A$2002,$A238,'Sales Log'!$B$3:$B$2002,D$2))</f>
        <v/>
      </c>
      <c r="E238" t="str">
        <f>IF(OR($A238="",E$2=""),"",SUMIFS('Sales Log'!$G$3:$G$2002,'Sales Log'!$A$3:$A$2002,$A238,'Sales Log'!$B$3:$B$2002,E$2))</f>
        <v/>
      </c>
      <c r="F238" t="str">
        <f t="shared" si="3"/>
        <v/>
      </c>
    </row>
    <row r="239" spans="2:6">
      <c r="B239" t="str">
        <f>IF(OR($A239="",B$2=""),"",SUMIFS('Sales Log'!$G$3:$G$2002,'Sales Log'!$A$3:$A$2002,$A239,'Sales Log'!$B$3:$B$2002,B$2))</f>
        <v/>
      </c>
      <c r="C239" t="str">
        <f>IF(OR($A239="",C$2=""),"",SUMIFS('Sales Log'!$G$3:$G$2002,'Sales Log'!$A$3:$A$2002,$A239,'Sales Log'!$B$3:$B$2002,C$2))</f>
        <v/>
      </c>
      <c r="D239" t="str">
        <f>IF(OR($A239="",D$2=""),"",SUMIFS('Sales Log'!$G$3:$G$2002,'Sales Log'!$A$3:$A$2002,$A239,'Sales Log'!$B$3:$B$2002,D$2))</f>
        <v/>
      </c>
      <c r="E239" t="str">
        <f>IF(OR($A239="",E$2=""),"",SUMIFS('Sales Log'!$G$3:$G$2002,'Sales Log'!$A$3:$A$2002,$A239,'Sales Log'!$B$3:$B$2002,E$2))</f>
        <v/>
      </c>
      <c r="F239" t="str">
        <f t="shared" si="3"/>
        <v/>
      </c>
    </row>
    <row r="240" spans="2:6">
      <c r="B240" t="str">
        <f>IF(OR($A240="",B$2=""),"",SUMIFS('Sales Log'!$G$3:$G$2002,'Sales Log'!$A$3:$A$2002,$A240,'Sales Log'!$B$3:$B$2002,B$2))</f>
        <v/>
      </c>
      <c r="C240" t="str">
        <f>IF(OR($A240="",C$2=""),"",SUMIFS('Sales Log'!$G$3:$G$2002,'Sales Log'!$A$3:$A$2002,$A240,'Sales Log'!$B$3:$B$2002,C$2))</f>
        <v/>
      </c>
      <c r="D240" t="str">
        <f>IF(OR($A240="",D$2=""),"",SUMIFS('Sales Log'!$G$3:$G$2002,'Sales Log'!$A$3:$A$2002,$A240,'Sales Log'!$B$3:$B$2002,D$2))</f>
        <v/>
      </c>
      <c r="E240" t="str">
        <f>IF(OR($A240="",E$2=""),"",SUMIFS('Sales Log'!$G$3:$G$2002,'Sales Log'!$A$3:$A$2002,$A240,'Sales Log'!$B$3:$B$2002,E$2))</f>
        <v/>
      </c>
      <c r="F240" t="str">
        <f t="shared" si="3"/>
        <v/>
      </c>
    </row>
    <row r="241" spans="2:6">
      <c r="B241" t="str">
        <f>IF(OR($A241="",B$2=""),"",SUMIFS('Sales Log'!$G$3:$G$2002,'Sales Log'!$A$3:$A$2002,$A241,'Sales Log'!$B$3:$B$2002,B$2))</f>
        <v/>
      </c>
      <c r="C241" t="str">
        <f>IF(OR($A241="",C$2=""),"",SUMIFS('Sales Log'!$G$3:$G$2002,'Sales Log'!$A$3:$A$2002,$A241,'Sales Log'!$B$3:$B$2002,C$2))</f>
        <v/>
      </c>
      <c r="D241" t="str">
        <f>IF(OR($A241="",D$2=""),"",SUMIFS('Sales Log'!$G$3:$G$2002,'Sales Log'!$A$3:$A$2002,$A241,'Sales Log'!$B$3:$B$2002,D$2))</f>
        <v/>
      </c>
      <c r="E241" t="str">
        <f>IF(OR($A241="",E$2=""),"",SUMIFS('Sales Log'!$G$3:$G$2002,'Sales Log'!$A$3:$A$2002,$A241,'Sales Log'!$B$3:$B$2002,E$2))</f>
        <v/>
      </c>
      <c r="F241" t="str">
        <f t="shared" si="3"/>
        <v/>
      </c>
    </row>
    <row r="242" spans="2:6">
      <c r="B242" t="str">
        <f>IF(OR($A242="",B$2=""),"",SUMIFS('Sales Log'!$G$3:$G$2002,'Sales Log'!$A$3:$A$2002,$A242,'Sales Log'!$B$3:$B$2002,B$2))</f>
        <v/>
      </c>
      <c r="C242" t="str">
        <f>IF(OR($A242="",C$2=""),"",SUMIFS('Sales Log'!$G$3:$G$2002,'Sales Log'!$A$3:$A$2002,$A242,'Sales Log'!$B$3:$B$2002,C$2))</f>
        <v/>
      </c>
      <c r="D242" t="str">
        <f>IF(OR($A242="",D$2=""),"",SUMIFS('Sales Log'!$G$3:$G$2002,'Sales Log'!$A$3:$A$2002,$A242,'Sales Log'!$B$3:$B$2002,D$2))</f>
        <v/>
      </c>
      <c r="E242" t="str">
        <f>IF(OR($A242="",E$2=""),"",SUMIFS('Sales Log'!$G$3:$G$2002,'Sales Log'!$A$3:$A$2002,$A242,'Sales Log'!$B$3:$B$2002,E$2))</f>
        <v/>
      </c>
      <c r="F242" t="str">
        <f t="shared" si="3"/>
        <v/>
      </c>
    </row>
    <row r="243" spans="2:6">
      <c r="B243" t="str">
        <f>IF(OR($A243="",B$2=""),"",SUMIFS('Sales Log'!$G$3:$G$2002,'Sales Log'!$A$3:$A$2002,$A243,'Sales Log'!$B$3:$B$2002,B$2))</f>
        <v/>
      </c>
      <c r="C243" t="str">
        <f>IF(OR($A243="",C$2=""),"",SUMIFS('Sales Log'!$G$3:$G$2002,'Sales Log'!$A$3:$A$2002,$A243,'Sales Log'!$B$3:$B$2002,C$2))</f>
        <v/>
      </c>
      <c r="D243" t="str">
        <f>IF(OR($A243="",D$2=""),"",SUMIFS('Sales Log'!$G$3:$G$2002,'Sales Log'!$A$3:$A$2002,$A243,'Sales Log'!$B$3:$B$2002,D$2))</f>
        <v/>
      </c>
      <c r="E243" t="str">
        <f>IF(OR($A243="",E$2=""),"",SUMIFS('Sales Log'!$G$3:$G$2002,'Sales Log'!$A$3:$A$2002,$A243,'Sales Log'!$B$3:$B$2002,E$2))</f>
        <v/>
      </c>
      <c r="F243" t="str">
        <f t="shared" si="3"/>
        <v/>
      </c>
    </row>
    <row r="244" spans="2:6">
      <c r="B244" t="str">
        <f>IF(OR($A244="",B$2=""),"",SUMIFS('Sales Log'!$G$3:$G$2002,'Sales Log'!$A$3:$A$2002,$A244,'Sales Log'!$B$3:$B$2002,B$2))</f>
        <v/>
      </c>
      <c r="C244" t="str">
        <f>IF(OR($A244="",C$2=""),"",SUMIFS('Sales Log'!$G$3:$G$2002,'Sales Log'!$A$3:$A$2002,$A244,'Sales Log'!$B$3:$B$2002,C$2))</f>
        <v/>
      </c>
      <c r="D244" t="str">
        <f>IF(OR($A244="",D$2=""),"",SUMIFS('Sales Log'!$G$3:$G$2002,'Sales Log'!$A$3:$A$2002,$A244,'Sales Log'!$B$3:$B$2002,D$2))</f>
        <v/>
      </c>
      <c r="E244" t="str">
        <f>IF(OR($A244="",E$2=""),"",SUMIFS('Sales Log'!$G$3:$G$2002,'Sales Log'!$A$3:$A$2002,$A244,'Sales Log'!$B$3:$B$2002,E$2))</f>
        <v/>
      </c>
      <c r="F244" t="str">
        <f t="shared" si="3"/>
        <v/>
      </c>
    </row>
    <row r="245" spans="2:6">
      <c r="B245" t="str">
        <f>IF(OR($A245="",B$2=""),"",SUMIFS('Sales Log'!$G$3:$G$2002,'Sales Log'!$A$3:$A$2002,$A245,'Sales Log'!$B$3:$B$2002,B$2))</f>
        <v/>
      </c>
      <c r="C245" t="str">
        <f>IF(OR($A245="",C$2=""),"",SUMIFS('Sales Log'!$G$3:$G$2002,'Sales Log'!$A$3:$A$2002,$A245,'Sales Log'!$B$3:$B$2002,C$2))</f>
        <v/>
      </c>
      <c r="D245" t="str">
        <f>IF(OR($A245="",D$2=""),"",SUMIFS('Sales Log'!$G$3:$G$2002,'Sales Log'!$A$3:$A$2002,$A245,'Sales Log'!$B$3:$B$2002,D$2))</f>
        <v/>
      </c>
      <c r="E245" t="str">
        <f>IF(OR($A245="",E$2=""),"",SUMIFS('Sales Log'!$G$3:$G$2002,'Sales Log'!$A$3:$A$2002,$A245,'Sales Log'!$B$3:$B$2002,E$2))</f>
        <v/>
      </c>
      <c r="F245" t="str">
        <f t="shared" si="3"/>
        <v/>
      </c>
    </row>
    <row r="246" spans="2:6">
      <c r="B246" t="str">
        <f>IF(OR($A246="",B$2=""),"",SUMIFS('Sales Log'!$G$3:$G$2002,'Sales Log'!$A$3:$A$2002,$A246,'Sales Log'!$B$3:$B$2002,B$2))</f>
        <v/>
      </c>
      <c r="C246" t="str">
        <f>IF(OR($A246="",C$2=""),"",SUMIFS('Sales Log'!$G$3:$G$2002,'Sales Log'!$A$3:$A$2002,$A246,'Sales Log'!$B$3:$B$2002,C$2))</f>
        <v/>
      </c>
      <c r="D246" t="str">
        <f>IF(OR($A246="",D$2=""),"",SUMIFS('Sales Log'!$G$3:$G$2002,'Sales Log'!$A$3:$A$2002,$A246,'Sales Log'!$B$3:$B$2002,D$2))</f>
        <v/>
      </c>
      <c r="E246" t="str">
        <f>IF(OR($A246="",E$2=""),"",SUMIFS('Sales Log'!$G$3:$G$2002,'Sales Log'!$A$3:$A$2002,$A246,'Sales Log'!$B$3:$B$2002,E$2))</f>
        <v/>
      </c>
      <c r="F246" t="str">
        <f t="shared" si="3"/>
        <v/>
      </c>
    </row>
    <row r="247" spans="2:6">
      <c r="B247" t="str">
        <f>IF(OR($A247="",B$2=""),"",SUMIFS('Sales Log'!$G$3:$G$2002,'Sales Log'!$A$3:$A$2002,$A247,'Sales Log'!$B$3:$B$2002,B$2))</f>
        <v/>
      </c>
      <c r="C247" t="str">
        <f>IF(OR($A247="",C$2=""),"",SUMIFS('Sales Log'!$G$3:$G$2002,'Sales Log'!$A$3:$A$2002,$A247,'Sales Log'!$B$3:$B$2002,C$2))</f>
        <v/>
      </c>
      <c r="D247" t="str">
        <f>IF(OR($A247="",D$2=""),"",SUMIFS('Sales Log'!$G$3:$G$2002,'Sales Log'!$A$3:$A$2002,$A247,'Sales Log'!$B$3:$B$2002,D$2))</f>
        <v/>
      </c>
      <c r="E247" t="str">
        <f>IF(OR($A247="",E$2=""),"",SUMIFS('Sales Log'!$G$3:$G$2002,'Sales Log'!$A$3:$A$2002,$A247,'Sales Log'!$B$3:$B$2002,E$2))</f>
        <v/>
      </c>
      <c r="F247" t="str">
        <f t="shared" si="3"/>
        <v/>
      </c>
    </row>
    <row r="248" spans="2:6">
      <c r="B248" t="str">
        <f>IF(OR($A248="",B$2=""),"",SUMIFS('Sales Log'!$G$3:$G$2002,'Sales Log'!$A$3:$A$2002,$A248,'Sales Log'!$B$3:$B$2002,B$2))</f>
        <v/>
      </c>
      <c r="C248" t="str">
        <f>IF(OR($A248="",C$2=""),"",SUMIFS('Sales Log'!$G$3:$G$2002,'Sales Log'!$A$3:$A$2002,$A248,'Sales Log'!$B$3:$B$2002,C$2))</f>
        <v/>
      </c>
      <c r="D248" t="str">
        <f>IF(OR($A248="",D$2=""),"",SUMIFS('Sales Log'!$G$3:$G$2002,'Sales Log'!$A$3:$A$2002,$A248,'Sales Log'!$B$3:$B$2002,D$2))</f>
        <v/>
      </c>
      <c r="E248" t="str">
        <f>IF(OR($A248="",E$2=""),"",SUMIFS('Sales Log'!$G$3:$G$2002,'Sales Log'!$A$3:$A$2002,$A248,'Sales Log'!$B$3:$B$2002,E$2))</f>
        <v/>
      </c>
      <c r="F248" t="str">
        <f t="shared" si="3"/>
        <v/>
      </c>
    </row>
    <row r="249" spans="2:6">
      <c r="B249" t="str">
        <f>IF(OR($A249="",B$2=""),"",SUMIFS('Sales Log'!$G$3:$G$2002,'Sales Log'!$A$3:$A$2002,$A249,'Sales Log'!$B$3:$B$2002,B$2))</f>
        <v/>
      </c>
      <c r="C249" t="str">
        <f>IF(OR($A249="",C$2=""),"",SUMIFS('Sales Log'!$G$3:$G$2002,'Sales Log'!$A$3:$A$2002,$A249,'Sales Log'!$B$3:$B$2002,C$2))</f>
        <v/>
      </c>
      <c r="D249" t="str">
        <f>IF(OR($A249="",D$2=""),"",SUMIFS('Sales Log'!$G$3:$G$2002,'Sales Log'!$A$3:$A$2002,$A249,'Sales Log'!$B$3:$B$2002,D$2))</f>
        <v/>
      </c>
      <c r="E249" t="str">
        <f>IF(OR($A249="",E$2=""),"",SUMIFS('Sales Log'!$G$3:$G$2002,'Sales Log'!$A$3:$A$2002,$A249,'Sales Log'!$B$3:$B$2002,E$2))</f>
        <v/>
      </c>
      <c r="F249" t="str">
        <f t="shared" si="3"/>
        <v/>
      </c>
    </row>
    <row r="250" spans="2:6">
      <c r="B250" t="str">
        <f>IF(OR($A250="",B$2=""),"",SUMIFS('Sales Log'!$G$3:$G$2002,'Sales Log'!$A$3:$A$2002,$A250,'Sales Log'!$B$3:$B$2002,B$2))</f>
        <v/>
      </c>
      <c r="C250" t="str">
        <f>IF(OR($A250="",C$2=""),"",SUMIFS('Sales Log'!$G$3:$G$2002,'Sales Log'!$A$3:$A$2002,$A250,'Sales Log'!$B$3:$B$2002,C$2))</f>
        <v/>
      </c>
      <c r="D250" t="str">
        <f>IF(OR($A250="",D$2=""),"",SUMIFS('Sales Log'!$G$3:$G$2002,'Sales Log'!$A$3:$A$2002,$A250,'Sales Log'!$B$3:$B$2002,D$2))</f>
        <v/>
      </c>
      <c r="E250" t="str">
        <f>IF(OR($A250="",E$2=""),"",SUMIFS('Sales Log'!$G$3:$G$2002,'Sales Log'!$A$3:$A$2002,$A250,'Sales Log'!$B$3:$B$2002,E$2))</f>
        <v/>
      </c>
      <c r="F250" t="str">
        <f t="shared" si="3"/>
        <v/>
      </c>
    </row>
    <row r="251" spans="2:6">
      <c r="B251" t="str">
        <f>IF(OR($A251="",B$2=""),"",SUMIFS('Sales Log'!$G$3:$G$2002,'Sales Log'!$A$3:$A$2002,$A251,'Sales Log'!$B$3:$B$2002,B$2))</f>
        <v/>
      </c>
      <c r="C251" t="str">
        <f>IF(OR($A251="",C$2=""),"",SUMIFS('Sales Log'!$G$3:$G$2002,'Sales Log'!$A$3:$A$2002,$A251,'Sales Log'!$B$3:$B$2002,C$2))</f>
        <v/>
      </c>
      <c r="D251" t="str">
        <f>IF(OR($A251="",D$2=""),"",SUMIFS('Sales Log'!$G$3:$G$2002,'Sales Log'!$A$3:$A$2002,$A251,'Sales Log'!$B$3:$B$2002,D$2))</f>
        <v/>
      </c>
      <c r="E251" t="str">
        <f>IF(OR($A251="",E$2=""),"",SUMIFS('Sales Log'!$G$3:$G$2002,'Sales Log'!$A$3:$A$2002,$A251,'Sales Log'!$B$3:$B$2002,E$2))</f>
        <v/>
      </c>
      <c r="F251" t="str">
        <f t="shared" si="3"/>
        <v/>
      </c>
    </row>
    <row r="252" spans="2:6">
      <c r="B252" t="str">
        <f>IF(OR($A252="",B$2=""),"",SUMIFS('Sales Log'!$G$3:$G$2002,'Sales Log'!$A$3:$A$2002,$A252,'Sales Log'!$B$3:$B$2002,B$2))</f>
        <v/>
      </c>
      <c r="C252" t="str">
        <f>IF(OR($A252="",C$2=""),"",SUMIFS('Sales Log'!$G$3:$G$2002,'Sales Log'!$A$3:$A$2002,$A252,'Sales Log'!$B$3:$B$2002,C$2))</f>
        <v/>
      </c>
      <c r="D252" t="str">
        <f>IF(OR($A252="",D$2=""),"",SUMIFS('Sales Log'!$G$3:$G$2002,'Sales Log'!$A$3:$A$2002,$A252,'Sales Log'!$B$3:$B$2002,D$2))</f>
        <v/>
      </c>
      <c r="E252" t="str">
        <f>IF(OR($A252="",E$2=""),"",SUMIFS('Sales Log'!$G$3:$G$2002,'Sales Log'!$A$3:$A$2002,$A252,'Sales Log'!$B$3:$B$2002,E$2))</f>
        <v/>
      </c>
      <c r="F252" t="str">
        <f t="shared" si="3"/>
        <v/>
      </c>
    </row>
    <row r="253" spans="2:6">
      <c r="B253" t="str">
        <f>IF(OR($A253="",B$2=""),"",SUMIFS('Sales Log'!$G$3:$G$2002,'Sales Log'!$A$3:$A$2002,$A253,'Sales Log'!$B$3:$B$2002,B$2))</f>
        <v/>
      </c>
      <c r="C253" t="str">
        <f>IF(OR($A253="",C$2=""),"",SUMIFS('Sales Log'!$G$3:$G$2002,'Sales Log'!$A$3:$A$2002,$A253,'Sales Log'!$B$3:$B$2002,C$2))</f>
        <v/>
      </c>
      <c r="D253" t="str">
        <f>IF(OR($A253="",D$2=""),"",SUMIFS('Sales Log'!$G$3:$G$2002,'Sales Log'!$A$3:$A$2002,$A253,'Sales Log'!$B$3:$B$2002,D$2))</f>
        <v/>
      </c>
      <c r="E253" t="str">
        <f>IF(OR($A253="",E$2=""),"",SUMIFS('Sales Log'!$G$3:$G$2002,'Sales Log'!$A$3:$A$2002,$A253,'Sales Log'!$B$3:$B$2002,E$2))</f>
        <v/>
      </c>
      <c r="F253" t="str">
        <f t="shared" si="3"/>
        <v/>
      </c>
    </row>
    <row r="254" spans="2:6">
      <c r="B254" t="str">
        <f>IF(OR($A254="",B$2=""),"",SUMIFS('Sales Log'!$G$3:$G$2002,'Sales Log'!$A$3:$A$2002,$A254,'Sales Log'!$B$3:$B$2002,B$2))</f>
        <v/>
      </c>
      <c r="C254" t="str">
        <f>IF(OR($A254="",C$2=""),"",SUMIFS('Sales Log'!$G$3:$G$2002,'Sales Log'!$A$3:$A$2002,$A254,'Sales Log'!$B$3:$B$2002,C$2))</f>
        <v/>
      </c>
      <c r="D254" t="str">
        <f>IF(OR($A254="",D$2=""),"",SUMIFS('Sales Log'!$G$3:$G$2002,'Sales Log'!$A$3:$A$2002,$A254,'Sales Log'!$B$3:$B$2002,D$2))</f>
        <v/>
      </c>
      <c r="E254" t="str">
        <f>IF(OR($A254="",E$2=""),"",SUMIFS('Sales Log'!$G$3:$G$2002,'Sales Log'!$A$3:$A$2002,$A254,'Sales Log'!$B$3:$B$2002,E$2))</f>
        <v/>
      </c>
      <c r="F254" t="str">
        <f t="shared" si="3"/>
        <v/>
      </c>
    </row>
    <row r="255" spans="2:6">
      <c r="B255" t="str">
        <f>IF(OR($A255="",B$2=""),"",SUMIFS('Sales Log'!$G$3:$G$2002,'Sales Log'!$A$3:$A$2002,$A255,'Sales Log'!$B$3:$B$2002,B$2))</f>
        <v/>
      </c>
      <c r="C255" t="str">
        <f>IF(OR($A255="",C$2=""),"",SUMIFS('Sales Log'!$G$3:$G$2002,'Sales Log'!$A$3:$A$2002,$A255,'Sales Log'!$B$3:$B$2002,C$2))</f>
        <v/>
      </c>
      <c r="D255" t="str">
        <f>IF(OR($A255="",D$2=""),"",SUMIFS('Sales Log'!$G$3:$G$2002,'Sales Log'!$A$3:$A$2002,$A255,'Sales Log'!$B$3:$B$2002,D$2))</f>
        <v/>
      </c>
      <c r="E255" t="str">
        <f>IF(OR($A255="",E$2=""),"",SUMIFS('Sales Log'!$G$3:$G$2002,'Sales Log'!$A$3:$A$2002,$A255,'Sales Log'!$B$3:$B$2002,E$2))</f>
        <v/>
      </c>
      <c r="F255" t="str">
        <f t="shared" si="3"/>
        <v/>
      </c>
    </row>
    <row r="256" spans="2:6">
      <c r="B256" t="str">
        <f>IF(OR($A256="",B$2=""),"",SUMIFS('Sales Log'!$G$3:$G$2002,'Sales Log'!$A$3:$A$2002,$A256,'Sales Log'!$B$3:$B$2002,B$2))</f>
        <v/>
      </c>
      <c r="C256" t="str">
        <f>IF(OR($A256="",C$2=""),"",SUMIFS('Sales Log'!$G$3:$G$2002,'Sales Log'!$A$3:$A$2002,$A256,'Sales Log'!$B$3:$B$2002,C$2))</f>
        <v/>
      </c>
      <c r="D256" t="str">
        <f>IF(OR($A256="",D$2=""),"",SUMIFS('Sales Log'!$G$3:$G$2002,'Sales Log'!$A$3:$A$2002,$A256,'Sales Log'!$B$3:$B$2002,D$2))</f>
        <v/>
      </c>
      <c r="E256" t="str">
        <f>IF(OR($A256="",E$2=""),"",SUMIFS('Sales Log'!$G$3:$G$2002,'Sales Log'!$A$3:$A$2002,$A256,'Sales Log'!$B$3:$B$2002,E$2))</f>
        <v/>
      </c>
      <c r="F256" t="str">
        <f t="shared" si="3"/>
        <v/>
      </c>
    </row>
    <row r="257" spans="2:6">
      <c r="B257" t="str">
        <f>IF(OR($A257="",B$2=""),"",SUMIFS('Sales Log'!$G$3:$G$2002,'Sales Log'!$A$3:$A$2002,$A257,'Sales Log'!$B$3:$B$2002,B$2))</f>
        <v/>
      </c>
      <c r="C257" t="str">
        <f>IF(OR($A257="",C$2=""),"",SUMIFS('Sales Log'!$G$3:$G$2002,'Sales Log'!$A$3:$A$2002,$A257,'Sales Log'!$B$3:$B$2002,C$2))</f>
        <v/>
      </c>
      <c r="D257" t="str">
        <f>IF(OR($A257="",D$2=""),"",SUMIFS('Sales Log'!$G$3:$G$2002,'Sales Log'!$A$3:$A$2002,$A257,'Sales Log'!$B$3:$B$2002,D$2))</f>
        <v/>
      </c>
      <c r="E257" t="str">
        <f>IF(OR($A257="",E$2=""),"",SUMIFS('Sales Log'!$G$3:$G$2002,'Sales Log'!$A$3:$A$2002,$A257,'Sales Log'!$B$3:$B$2002,E$2))</f>
        <v/>
      </c>
      <c r="F257" t="str">
        <f t="shared" si="3"/>
        <v/>
      </c>
    </row>
    <row r="258" spans="2:6">
      <c r="B258" t="str">
        <f>IF(OR($A258="",B$2=""),"",SUMIFS('Sales Log'!$G$3:$G$2002,'Sales Log'!$A$3:$A$2002,$A258,'Sales Log'!$B$3:$B$2002,B$2))</f>
        <v/>
      </c>
      <c r="C258" t="str">
        <f>IF(OR($A258="",C$2=""),"",SUMIFS('Sales Log'!$G$3:$G$2002,'Sales Log'!$A$3:$A$2002,$A258,'Sales Log'!$B$3:$B$2002,C$2))</f>
        <v/>
      </c>
      <c r="D258" t="str">
        <f>IF(OR($A258="",D$2=""),"",SUMIFS('Sales Log'!$G$3:$G$2002,'Sales Log'!$A$3:$A$2002,$A258,'Sales Log'!$B$3:$B$2002,D$2))</f>
        <v/>
      </c>
      <c r="E258" t="str">
        <f>IF(OR($A258="",E$2=""),"",SUMIFS('Sales Log'!$G$3:$G$2002,'Sales Log'!$A$3:$A$2002,$A258,'Sales Log'!$B$3:$B$2002,E$2))</f>
        <v/>
      </c>
      <c r="F258" t="str">
        <f t="shared" si="3"/>
        <v/>
      </c>
    </row>
    <row r="259" spans="2:6">
      <c r="B259" t="str">
        <f>IF(OR($A259="",B$2=""),"",SUMIFS('Sales Log'!$G$3:$G$2002,'Sales Log'!$A$3:$A$2002,$A259,'Sales Log'!$B$3:$B$2002,B$2))</f>
        <v/>
      </c>
      <c r="C259" t="str">
        <f>IF(OR($A259="",C$2=""),"",SUMIFS('Sales Log'!$G$3:$G$2002,'Sales Log'!$A$3:$A$2002,$A259,'Sales Log'!$B$3:$B$2002,C$2))</f>
        <v/>
      </c>
      <c r="D259" t="str">
        <f>IF(OR($A259="",D$2=""),"",SUMIFS('Sales Log'!$G$3:$G$2002,'Sales Log'!$A$3:$A$2002,$A259,'Sales Log'!$B$3:$B$2002,D$2))</f>
        <v/>
      </c>
      <c r="E259" t="str">
        <f>IF(OR($A259="",E$2=""),"",SUMIFS('Sales Log'!$G$3:$G$2002,'Sales Log'!$A$3:$A$2002,$A259,'Sales Log'!$B$3:$B$2002,E$2))</f>
        <v/>
      </c>
      <c r="F259" t="str">
        <f t="shared" ref="F259:F322" si="4">IF(A259="","",SUM(B259:E259))</f>
        <v/>
      </c>
    </row>
    <row r="260" spans="2:6">
      <c r="B260" t="str">
        <f>IF(OR($A260="",B$2=""),"",SUMIFS('Sales Log'!$G$3:$G$2002,'Sales Log'!$A$3:$A$2002,$A260,'Sales Log'!$B$3:$B$2002,B$2))</f>
        <v/>
      </c>
      <c r="C260" t="str">
        <f>IF(OR($A260="",C$2=""),"",SUMIFS('Sales Log'!$G$3:$G$2002,'Sales Log'!$A$3:$A$2002,$A260,'Sales Log'!$B$3:$B$2002,C$2))</f>
        <v/>
      </c>
      <c r="D260" t="str">
        <f>IF(OR($A260="",D$2=""),"",SUMIFS('Sales Log'!$G$3:$G$2002,'Sales Log'!$A$3:$A$2002,$A260,'Sales Log'!$B$3:$B$2002,D$2))</f>
        <v/>
      </c>
      <c r="E260" t="str">
        <f>IF(OR($A260="",E$2=""),"",SUMIFS('Sales Log'!$G$3:$G$2002,'Sales Log'!$A$3:$A$2002,$A260,'Sales Log'!$B$3:$B$2002,E$2))</f>
        <v/>
      </c>
      <c r="F260" t="str">
        <f t="shared" si="4"/>
        <v/>
      </c>
    </row>
    <row r="261" spans="2:6">
      <c r="B261" t="str">
        <f>IF(OR($A261="",B$2=""),"",SUMIFS('Sales Log'!$G$3:$G$2002,'Sales Log'!$A$3:$A$2002,$A261,'Sales Log'!$B$3:$B$2002,B$2))</f>
        <v/>
      </c>
      <c r="C261" t="str">
        <f>IF(OR($A261="",C$2=""),"",SUMIFS('Sales Log'!$G$3:$G$2002,'Sales Log'!$A$3:$A$2002,$A261,'Sales Log'!$B$3:$B$2002,C$2))</f>
        <v/>
      </c>
      <c r="D261" t="str">
        <f>IF(OR($A261="",D$2=""),"",SUMIFS('Sales Log'!$G$3:$G$2002,'Sales Log'!$A$3:$A$2002,$A261,'Sales Log'!$B$3:$B$2002,D$2))</f>
        <v/>
      </c>
      <c r="E261" t="str">
        <f>IF(OR($A261="",E$2=""),"",SUMIFS('Sales Log'!$G$3:$G$2002,'Sales Log'!$A$3:$A$2002,$A261,'Sales Log'!$B$3:$B$2002,E$2))</f>
        <v/>
      </c>
      <c r="F261" t="str">
        <f t="shared" si="4"/>
        <v/>
      </c>
    </row>
    <row r="262" spans="2:6">
      <c r="B262" t="str">
        <f>IF(OR($A262="",B$2=""),"",SUMIFS('Sales Log'!$G$3:$G$2002,'Sales Log'!$A$3:$A$2002,$A262,'Sales Log'!$B$3:$B$2002,B$2))</f>
        <v/>
      </c>
      <c r="C262" t="str">
        <f>IF(OR($A262="",C$2=""),"",SUMIFS('Sales Log'!$G$3:$G$2002,'Sales Log'!$A$3:$A$2002,$A262,'Sales Log'!$B$3:$B$2002,C$2))</f>
        <v/>
      </c>
      <c r="D262" t="str">
        <f>IF(OR($A262="",D$2=""),"",SUMIFS('Sales Log'!$G$3:$G$2002,'Sales Log'!$A$3:$A$2002,$A262,'Sales Log'!$B$3:$B$2002,D$2))</f>
        <v/>
      </c>
      <c r="E262" t="str">
        <f>IF(OR($A262="",E$2=""),"",SUMIFS('Sales Log'!$G$3:$G$2002,'Sales Log'!$A$3:$A$2002,$A262,'Sales Log'!$B$3:$B$2002,E$2))</f>
        <v/>
      </c>
      <c r="F262" t="str">
        <f t="shared" si="4"/>
        <v/>
      </c>
    </row>
    <row r="263" spans="2:6">
      <c r="B263" t="str">
        <f>IF(OR($A263="",B$2=""),"",SUMIFS('Sales Log'!$G$3:$G$2002,'Sales Log'!$A$3:$A$2002,$A263,'Sales Log'!$B$3:$B$2002,B$2))</f>
        <v/>
      </c>
      <c r="C263" t="str">
        <f>IF(OR($A263="",C$2=""),"",SUMIFS('Sales Log'!$G$3:$G$2002,'Sales Log'!$A$3:$A$2002,$A263,'Sales Log'!$B$3:$B$2002,C$2))</f>
        <v/>
      </c>
      <c r="D263" t="str">
        <f>IF(OR($A263="",D$2=""),"",SUMIFS('Sales Log'!$G$3:$G$2002,'Sales Log'!$A$3:$A$2002,$A263,'Sales Log'!$B$3:$B$2002,D$2))</f>
        <v/>
      </c>
      <c r="E263" t="str">
        <f>IF(OR($A263="",E$2=""),"",SUMIFS('Sales Log'!$G$3:$G$2002,'Sales Log'!$A$3:$A$2002,$A263,'Sales Log'!$B$3:$B$2002,E$2))</f>
        <v/>
      </c>
      <c r="F263" t="str">
        <f t="shared" si="4"/>
        <v/>
      </c>
    </row>
    <row r="264" spans="2:6">
      <c r="B264" t="str">
        <f>IF(OR($A264="",B$2=""),"",SUMIFS('Sales Log'!$G$3:$G$2002,'Sales Log'!$A$3:$A$2002,$A264,'Sales Log'!$B$3:$B$2002,B$2))</f>
        <v/>
      </c>
      <c r="C264" t="str">
        <f>IF(OR($A264="",C$2=""),"",SUMIFS('Sales Log'!$G$3:$G$2002,'Sales Log'!$A$3:$A$2002,$A264,'Sales Log'!$B$3:$B$2002,C$2))</f>
        <v/>
      </c>
      <c r="D264" t="str">
        <f>IF(OR($A264="",D$2=""),"",SUMIFS('Sales Log'!$G$3:$G$2002,'Sales Log'!$A$3:$A$2002,$A264,'Sales Log'!$B$3:$B$2002,D$2))</f>
        <v/>
      </c>
      <c r="E264" t="str">
        <f>IF(OR($A264="",E$2=""),"",SUMIFS('Sales Log'!$G$3:$G$2002,'Sales Log'!$A$3:$A$2002,$A264,'Sales Log'!$B$3:$B$2002,E$2))</f>
        <v/>
      </c>
      <c r="F264" t="str">
        <f t="shared" si="4"/>
        <v/>
      </c>
    </row>
    <row r="265" spans="2:6">
      <c r="B265" t="str">
        <f>IF(OR($A265="",B$2=""),"",SUMIFS('Sales Log'!$G$3:$G$2002,'Sales Log'!$A$3:$A$2002,$A265,'Sales Log'!$B$3:$B$2002,B$2))</f>
        <v/>
      </c>
      <c r="C265" t="str">
        <f>IF(OR($A265="",C$2=""),"",SUMIFS('Sales Log'!$G$3:$G$2002,'Sales Log'!$A$3:$A$2002,$A265,'Sales Log'!$B$3:$B$2002,C$2))</f>
        <v/>
      </c>
      <c r="D265" t="str">
        <f>IF(OR($A265="",D$2=""),"",SUMIFS('Sales Log'!$G$3:$G$2002,'Sales Log'!$A$3:$A$2002,$A265,'Sales Log'!$B$3:$B$2002,D$2))</f>
        <v/>
      </c>
      <c r="E265" t="str">
        <f>IF(OR($A265="",E$2=""),"",SUMIFS('Sales Log'!$G$3:$G$2002,'Sales Log'!$A$3:$A$2002,$A265,'Sales Log'!$B$3:$B$2002,E$2))</f>
        <v/>
      </c>
      <c r="F265" t="str">
        <f t="shared" si="4"/>
        <v/>
      </c>
    </row>
    <row r="266" spans="2:6">
      <c r="B266" t="str">
        <f>IF(OR($A266="",B$2=""),"",SUMIFS('Sales Log'!$G$3:$G$2002,'Sales Log'!$A$3:$A$2002,$A266,'Sales Log'!$B$3:$B$2002,B$2))</f>
        <v/>
      </c>
      <c r="C266" t="str">
        <f>IF(OR($A266="",C$2=""),"",SUMIFS('Sales Log'!$G$3:$G$2002,'Sales Log'!$A$3:$A$2002,$A266,'Sales Log'!$B$3:$B$2002,C$2))</f>
        <v/>
      </c>
      <c r="D266" t="str">
        <f>IF(OR($A266="",D$2=""),"",SUMIFS('Sales Log'!$G$3:$G$2002,'Sales Log'!$A$3:$A$2002,$A266,'Sales Log'!$B$3:$B$2002,D$2))</f>
        <v/>
      </c>
      <c r="E266" t="str">
        <f>IF(OR($A266="",E$2=""),"",SUMIFS('Sales Log'!$G$3:$G$2002,'Sales Log'!$A$3:$A$2002,$A266,'Sales Log'!$B$3:$B$2002,E$2))</f>
        <v/>
      </c>
      <c r="F266" t="str">
        <f t="shared" si="4"/>
        <v/>
      </c>
    </row>
    <row r="267" spans="2:6">
      <c r="B267" t="str">
        <f>IF(OR($A267="",B$2=""),"",SUMIFS('Sales Log'!$G$3:$G$2002,'Sales Log'!$A$3:$A$2002,$A267,'Sales Log'!$B$3:$B$2002,B$2))</f>
        <v/>
      </c>
      <c r="C267" t="str">
        <f>IF(OR($A267="",C$2=""),"",SUMIFS('Sales Log'!$G$3:$G$2002,'Sales Log'!$A$3:$A$2002,$A267,'Sales Log'!$B$3:$B$2002,C$2))</f>
        <v/>
      </c>
      <c r="D267" t="str">
        <f>IF(OR($A267="",D$2=""),"",SUMIFS('Sales Log'!$G$3:$G$2002,'Sales Log'!$A$3:$A$2002,$A267,'Sales Log'!$B$3:$B$2002,D$2))</f>
        <v/>
      </c>
      <c r="E267" t="str">
        <f>IF(OR($A267="",E$2=""),"",SUMIFS('Sales Log'!$G$3:$G$2002,'Sales Log'!$A$3:$A$2002,$A267,'Sales Log'!$B$3:$B$2002,E$2))</f>
        <v/>
      </c>
      <c r="F267" t="str">
        <f t="shared" si="4"/>
        <v/>
      </c>
    </row>
    <row r="268" spans="2:6">
      <c r="B268" t="str">
        <f>IF(OR($A268="",B$2=""),"",SUMIFS('Sales Log'!$G$3:$G$2002,'Sales Log'!$A$3:$A$2002,$A268,'Sales Log'!$B$3:$B$2002,B$2))</f>
        <v/>
      </c>
      <c r="C268" t="str">
        <f>IF(OR($A268="",C$2=""),"",SUMIFS('Sales Log'!$G$3:$G$2002,'Sales Log'!$A$3:$A$2002,$A268,'Sales Log'!$B$3:$B$2002,C$2))</f>
        <v/>
      </c>
      <c r="D268" t="str">
        <f>IF(OR($A268="",D$2=""),"",SUMIFS('Sales Log'!$G$3:$G$2002,'Sales Log'!$A$3:$A$2002,$A268,'Sales Log'!$B$3:$B$2002,D$2))</f>
        <v/>
      </c>
      <c r="E268" t="str">
        <f>IF(OR($A268="",E$2=""),"",SUMIFS('Sales Log'!$G$3:$G$2002,'Sales Log'!$A$3:$A$2002,$A268,'Sales Log'!$B$3:$B$2002,E$2))</f>
        <v/>
      </c>
      <c r="F268" t="str">
        <f t="shared" si="4"/>
        <v/>
      </c>
    </row>
    <row r="269" spans="2:6">
      <c r="B269" t="str">
        <f>IF(OR($A269="",B$2=""),"",SUMIFS('Sales Log'!$G$3:$G$2002,'Sales Log'!$A$3:$A$2002,$A269,'Sales Log'!$B$3:$B$2002,B$2))</f>
        <v/>
      </c>
      <c r="C269" t="str">
        <f>IF(OR($A269="",C$2=""),"",SUMIFS('Sales Log'!$G$3:$G$2002,'Sales Log'!$A$3:$A$2002,$A269,'Sales Log'!$B$3:$B$2002,C$2))</f>
        <v/>
      </c>
      <c r="D269" t="str">
        <f>IF(OR($A269="",D$2=""),"",SUMIFS('Sales Log'!$G$3:$G$2002,'Sales Log'!$A$3:$A$2002,$A269,'Sales Log'!$B$3:$B$2002,D$2))</f>
        <v/>
      </c>
      <c r="E269" t="str">
        <f>IF(OR($A269="",E$2=""),"",SUMIFS('Sales Log'!$G$3:$G$2002,'Sales Log'!$A$3:$A$2002,$A269,'Sales Log'!$B$3:$B$2002,E$2))</f>
        <v/>
      </c>
      <c r="F269" t="str">
        <f t="shared" si="4"/>
        <v/>
      </c>
    </row>
    <row r="270" spans="2:6">
      <c r="B270" t="str">
        <f>IF(OR($A270="",B$2=""),"",SUMIFS('Sales Log'!$G$3:$G$2002,'Sales Log'!$A$3:$A$2002,$A270,'Sales Log'!$B$3:$B$2002,B$2))</f>
        <v/>
      </c>
      <c r="C270" t="str">
        <f>IF(OR($A270="",C$2=""),"",SUMIFS('Sales Log'!$G$3:$G$2002,'Sales Log'!$A$3:$A$2002,$A270,'Sales Log'!$B$3:$B$2002,C$2))</f>
        <v/>
      </c>
      <c r="D270" t="str">
        <f>IF(OR($A270="",D$2=""),"",SUMIFS('Sales Log'!$G$3:$G$2002,'Sales Log'!$A$3:$A$2002,$A270,'Sales Log'!$B$3:$B$2002,D$2))</f>
        <v/>
      </c>
      <c r="E270" t="str">
        <f>IF(OR($A270="",E$2=""),"",SUMIFS('Sales Log'!$G$3:$G$2002,'Sales Log'!$A$3:$A$2002,$A270,'Sales Log'!$B$3:$B$2002,E$2))</f>
        <v/>
      </c>
      <c r="F270" t="str">
        <f t="shared" si="4"/>
        <v/>
      </c>
    </row>
    <row r="271" spans="2:6">
      <c r="B271" t="str">
        <f>IF(OR($A271="",B$2=""),"",SUMIFS('Sales Log'!$G$3:$G$2002,'Sales Log'!$A$3:$A$2002,$A271,'Sales Log'!$B$3:$B$2002,B$2))</f>
        <v/>
      </c>
      <c r="C271" t="str">
        <f>IF(OR($A271="",C$2=""),"",SUMIFS('Sales Log'!$G$3:$G$2002,'Sales Log'!$A$3:$A$2002,$A271,'Sales Log'!$B$3:$B$2002,C$2))</f>
        <v/>
      </c>
      <c r="D271" t="str">
        <f>IF(OR($A271="",D$2=""),"",SUMIFS('Sales Log'!$G$3:$G$2002,'Sales Log'!$A$3:$A$2002,$A271,'Sales Log'!$B$3:$B$2002,D$2))</f>
        <v/>
      </c>
      <c r="E271" t="str">
        <f>IF(OR($A271="",E$2=""),"",SUMIFS('Sales Log'!$G$3:$G$2002,'Sales Log'!$A$3:$A$2002,$A271,'Sales Log'!$B$3:$B$2002,E$2))</f>
        <v/>
      </c>
      <c r="F271" t="str">
        <f t="shared" si="4"/>
        <v/>
      </c>
    </row>
    <row r="272" spans="2:6">
      <c r="B272" t="str">
        <f>IF(OR($A272="",B$2=""),"",SUMIFS('Sales Log'!$G$3:$G$2002,'Sales Log'!$A$3:$A$2002,$A272,'Sales Log'!$B$3:$B$2002,B$2))</f>
        <v/>
      </c>
      <c r="C272" t="str">
        <f>IF(OR($A272="",C$2=""),"",SUMIFS('Sales Log'!$G$3:$G$2002,'Sales Log'!$A$3:$A$2002,$A272,'Sales Log'!$B$3:$B$2002,C$2))</f>
        <v/>
      </c>
      <c r="D272" t="str">
        <f>IF(OR($A272="",D$2=""),"",SUMIFS('Sales Log'!$G$3:$G$2002,'Sales Log'!$A$3:$A$2002,$A272,'Sales Log'!$B$3:$B$2002,D$2))</f>
        <v/>
      </c>
      <c r="E272" t="str">
        <f>IF(OR($A272="",E$2=""),"",SUMIFS('Sales Log'!$G$3:$G$2002,'Sales Log'!$A$3:$A$2002,$A272,'Sales Log'!$B$3:$B$2002,E$2))</f>
        <v/>
      </c>
      <c r="F272" t="str">
        <f t="shared" si="4"/>
        <v/>
      </c>
    </row>
    <row r="273" spans="2:6">
      <c r="B273" t="str">
        <f>IF(OR($A273="",B$2=""),"",SUMIFS('Sales Log'!$G$3:$G$2002,'Sales Log'!$A$3:$A$2002,$A273,'Sales Log'!$B$3:$B$2002,B$2))</f>
        <v/>
      </c>
      <c r="C273" t="str">
        <f>IF(OR($A273="",C$2=""),"",SUMIFS('Sales Log'!$G$3:$G$2002,'Sales Log'!$A$3:$A$2002,$A273,'Sales Log'!$B$3:$B$2002,C$2))</f>
        <v/>
      </c>
      <c r="D273" t="str">
        <f>IF(OR($A273="",D$2=""),"",SUMIFS('Sales Log'!$G$3:$G$2002,'Sales Log'!$A$3:$A$2002,$A273,'Sales Log'!$B$3:$B$2002,D$2))</f>
        <v/>
      </c>
      <c r="E273" t="str">
        <f>IF(OR($A273="",E$2=""),"",SUMIFS('Sales Log'!$G$3:$G$2002,'Sales Log'!$A$3:$A$2002,$A273,'Sales Log'!$B$3:$B$2002,E$2))</f>
        <v/>
      </c>
      <c r="F273" t="str">
        <f t="shared" si="4"/>
        <v/>
      </c>
    </row>
    <row r="274" spans="2:6">
      <c r="B274" t="str">
        <f>IF(OR($A274="",B$2=""),"",SUMIFS('Sales Log'!$G$3:$G$2002,'Sales Log'!$A$3:$A$2002,$A274,'Sales Log'!$B$3:$B$2002,B$2))</f>
        <v/>
      </c>
      <c r="C274" t="str">
        <f>IF(OR($A274="",C$2=""),"",SUMIFS('Sales Log'!$G$3:$G$2002,'Sales Log'!$A$3:$A$2002,$A274,'Sales Log'!$B$3:$B$2002,C$2))</f>
        <v/>
      </c>
      <c r="D274" t="str">
        <f>IF(OR($A274="",D$2=""),"",SUMIFS('Sales Log'!$G$3:$G$2002,'Sales Log'!$A$3:$A$2002,$A274,'Sales Log'!$B$3:$B$2002,D$2))</f>
        <v/>
      </c>
      <c r="E274" t="str">
        <f>IF(OR($A274="",E$2=""),"",SUMIFS('Sales Log'!$G$3:$G$2002,'Sales Log'!$A$3:$A$2002,$A274,'Sales Log'!$B$3:$B$2002,E$2))</f>
        <v/>
      </c>
      <c r="F274" t="str">
        <f t="shared" si="4"/>
        <v/>
      </c>
    </row>
    <row r="275" spans="2:6">
      <c r="B275" t="str">
        <f>IF(OR($A275="",B$2=""),"",SUMIFS('Sales Log'!$G$3:$G$2002,'Sales Log'!$A$3:$A$2002,$A275,'Sales Log'!$B$3:$B$2002,B$2))</f>
        <v/>
      </c>
      <c r="C275" t="str">
        <f>IF(OR($A275="",C$2=""),"",SUMIFS('Sales Log'!$G$3:$G$2002,'Sales Log'!$A$3:$A$2002,$A275,'Sales Log'!$B$3:$B$2002,C$2))</f>
        <v/>
      </c>
      <c r="D275" t="str">
        <f>IF(OR($A275="",D$2=""),"",SUMIFS('Sales Log'!$G$3:$G$2002,'Sales Log'!$A$3:$A$2002,$A275,'Sales Log'!$B$3:$B$2002,D$2))</f>
        <v/>
      </c>
      <c r="E275" t="str">
        <f>IF(OR($A275="",E$2=""),"",SUMIFS('Sales Log'!$G$3:$G$2002,'Sales Log'!$A$3:$A$2002,$A275,'Sales Log'!$B$3:$B$2002,E$2))</f>
        <v/>
      </c>
      <c r="F275" t="str">
        <f t="shared" si="4"/>
        <v/>
      </c>
    </row>
    <row r="276" spans="2:6">
      <c r="B276" t="str">
        <f>IF(OR($A276="",B$2=""),"",SUMIFS('Sales Log'!$G$3:$G$2002,'Sales Log'!$A$3:$A$2002,$A276,'Sales Log'!$B$3:$B$2002,B$2))</f>
        <v/>
      </c>
      <c r="C276" t="str">
        <f>IF(OR($A276="",C$2=""),"",SUMIFS('Sales Log'!$G$3:$G$2002,'Sales Log'!$A$3:$A$2002,$A276,'Sales Log'!$B$3:$B$2002,C$2))</f>
        <v/>
      </c>
      <c r="D276" t="str">
        <f>IF(OR($A276="",D$2=""),"",SUMIFS('Sales Log'!$G$3:$G$2002,'Sales Log'!$A$3:$A$2002,$A276,'Sales Log'!$B$3:$B$2002,D$2))</f>
        <v/>
      </c>
      <c r="E276" t="str">
        <f>IF(OR($A276="",E$2=""),"",SUMIFS('Sales Log'!$G$3:$G$2002,'Sales Log'!$A$3:$A$2002,$A276,'Sales Log'!$B$3:$B$2002,E$2))</f>
        <v/>
      </c>
      <c r="F276" t="str">
        <f t="shared" si="4"/>
        <v/>
      </c>
    </row>
    <row r="277" spans="2:6">
      <c r="B277" t="str">
        <f>IF(OR($A277="",B$2=""),"",SUMIFS('Sales Log'!$G$3:$G$2002,'Sales Log'!$A$3:$A$2002,$A277,'Sales Log'!$B$3:$B$2002,B$2))</f>
        <v/>
      </c>
      <c r="C277" t="str">
        <f>IF(OR($A277="",C$2=""),"",SUMIFS('Sales Log'!$G$3:$G$2002,'Sales Log'!$A$3:$A$2002,$A277,'Sales Log'!$B$3:$B$2002,C$2))</f>
        <v/>
      </c>
      <c r="D277" t="str">
        <f>IF(OR($A277="",D$2=""),"",SUMIFS('Sales Log'!$G$3:$G$2002,'Sales Log'!$A$3:$A$2002,$A277,'Sales Log'!$B$3:$B$2002,D$2))</f>
        <v/>
      </c>
      <c r="E277" t="str">
        <f>IF(OR($A277="",E$2=""),"",SUMIFS('Sales Log'!$G$3:$G$2002,'Sales Log'!$A$3:$A$2002,$A277,'Sales Log'!$B$3:$B$2002,E$2))</f>
        <v/>
      </c>
      <c r="F277" t="str">
        <f t="shared" si="4"/>
        <v/>
      </c>
    </row>
    <row r="278" spans="2:6">
      <c r="B278" t="str">
        <f>IF(OR($A278="",B$2=""),"",SUMIFS('Sales Log'!$G$3:$G$2002,'Sales Log'!$A$3:$A$2002,$A278,'Sales Log'!$B$3:$B$2002,B$2))</f>
        <v/>
      </c>
      <c r="C278" t="str">
        <f>IF(OR($A278="",C$2=""),"",SUMIFS('Sales Log'!$G$3:$G$2002,'Sales Log'!$A$3:$A$2002,$A278,'Sales Log'!$B$3:$B$2002,C$2))</f>
        <v/>
      </c>
      <c r="D278" t="str">
        <f>IF(OR($A278="",D$2=""),"",SUMIFS('Sales Log'!$G$3:$G$2002,'Sales Log'!$A$3:$A$2002,$A278,'Sales Log'!$B$3:$B$2002,D$2))</f>
        <v/>
      </c>
      <c r="E278" t="str">
        <f>IF(OR($A278="",E$2=""),"",SUMIFS('Sales Log'!$G$3:$G$2002,'Sales Log'!$A$3:$A$2002,$A278,'Sales Log'!$B$3:$B$2002,E$2))</f>
        <v/>
      </c>
      <c r="F278" t="str">
        <f t="shared" si="4"/>
        <v/>
      </c>
    </row>
    <row r="279" spans="2:6">
      <c r="B279" t="str">
        <f>IF(OR($A279="",B$2=""),"",SUMIFS('Sales Log'!$G$3:$G$2002,'Sales Log'!$A$3:$A$2002,$A279,'Sales Log'!$B$3:$B$2002,B$2))</f>
        <v/>
      </c>
      <c r="C279" t="str">
        <f>IF(OR($A279="",C$2=""),"",SUMIFS('Sales Log'!$G$3:$G$2002,'Sales Log'!$A$3:$A$2002,$A279,'Sales Log'!$B$3:$B$2002,C$2))</f>
        <v/>
      </c>
      <c r="D279" t="str">
        <f>IF(OR($A279="",D$2=""),"",SUMIFS('Sales Log'!$G$3:$G$2002,'Sales Log'!$A$3:$A$2002,$A279,'Sales Log'!$B$3:$B$2002,D$2))</f>
        <v/>
      </c>
      <c r="E279" t="str">
        <f>IF(OR($A279="",E$2=""),"",SUMIFS('Sales Log'!$G$3:$G$2002,'Sales Log'!$A$3:$A$2002,$A279,'Sales Log'!$B$3:$B$2002,E$2))</f>
        <v/>
      </c>
      <c r="F279" t="str">
        <f t="shared" si="4"/>
        <v/>
      </c>
    </row>
    <row r="280" spans="2:6">
      <c r="B280" t="str">
        <f>IF(OR($A280="",B$2=""),"",SUMIFS('Sales Log'!$G$3:$G$2002,'Sales Log'!$A$3:$A$2002,$A280,'Sales Log'!$B$3:$B$2002,B$2))</f>
        <v/>
      </c>
      <c r="C280" t="str">
        <f>IF(OR($A280="",C$2=""),"",SUMIFS('Sales Log'!$G$3:$G$2002,'Sales Log'!$A$3:$A$2002,$A280,'Sales Log'!$B$3:$B$2002,C$2))</f>
        <v/>
      </c>
      <c r="D280" t="str">
        <f>IF(OR($A280="",D$2=""),"",SUMIFS('Sales Log'!$G$3:$G$2002,'Sales Log'!$A$3:$A$2002,$A280,'Sales Log'!$B$3:$B$2002,D$2))</f>
        <v/>
      </c>
      <c r="E280" t="str">
        <f>IF(OR($A280="",E$2=""),"",SUMIFS('Sales Log'!$G$3:$G$2002,'Sales Log'!$A$3:$A$2002,$A280,'Sales Log'!$B$3:$B$2002,E$2))</f>
        <v/>
      </c>
      <c r="F280" t="str">
        <f t="shared" si="4"/>
        <v/>
      </c>
    </row>
    <row r="281" spans="2:6">
      <c r="B281" t="str">
        <f>IF(OR($A281="",B$2=""),"",SUMIFS('Sales Log'!$G$3:$G$2002,'Sales Log'!$A$3:$A$2002,$A281,'Sales Log'!$B$3:$B$2002,B$2))</f>
        <v/>
      </c>
      <c r="C281" t="str">
        <f>IF(OR($A281="",C$2=""),"",SUMIFS('Sales Log'!$G$3:$G$2002,'Sales Log'!$A$3:$A$2002,$A281,'Sales Log'!$B$3:$B$2002,C$2))</f>
        <v/>
      </c>
      <c r="D281" t="str">
        <f>IF(OR($A281="",D$2=""),"",SUMIFS('Sales Log'!$G$3:$G$2002,'Sales Log'!$A$3:$A$2002,$A281,'Sales Log'!$B$3:$B$2002,D$2))</f>
        <v/>
      </c>
      <c r="E281" t="str">
        <f>IF(OR($A281="",E$2=""),"",SUMIFS('Sales Log'!$G$3:$G$2002,'Sales Log'!$A$3:$A$2002,$A281,'Sales Log'!$B$3:$B$2002,E$2))</f>
        <v/>
      </c>
      <c r="F281" t="str">
        <f t="shared" si="4"/>
        <v/>
      </c>
    </row>
    <row r="282" spans="2:6">
      <c r="B282" t="str">
        <f>IF(OR($A282="",B$2=""),"",SUMIFS('Sales Log'!$G$3:$G$2002,'Sales Log'!$A$3:$A$2002,$A282,'Sales Log'!$B$3:$B$2002,B$2))</f>
        <v/>
      </c>
      <c r="C282" t="str">
        <f>IF(OR($A282="",C$2=""),"",SUMIFS('Sales Log'!$G$3:$G$2002,'Sales Log'!$A$3:$A$2002,$A282,'Sales Log'!$B$3:$B$2002,C$2))</f>
        <v/>
      </c>
      <c r="D282" t="str">
        <f>IF(OR($A282="",D$2=""),"",SUMIFS('Sales Log'!$G$3:$G$2002,'Sales Log'!$A$3:$A$2002,$A282,'Sales Log'!$B$3:$B$2002,D$2))</f>
        <v/>
      </c>
      <c r="E282" t="str">
        <f>IF(OR($A282="",E$2=""),"",SUMIFS('Sales Log'!$G$3:$G$2002,'Sales Log'!$A$3:$A$2002,$A282,'Sales Log'!$B$3:$B$2002,E$2))</f>
        <v/>
      </c>
      <c r="F282" t="str">
        <f t="shared" si="4"/>
        <v/>
      </c>
    </row>
    <row r="283" spans="2:6">
      <c r="B283" t="str">
        <f>IF(OR($A283="",B$2=""),"",SUMIFS('Sales Log'!$G$3:$G$2002,'Sales Log'!$A$3:$A$2002,$A283,'Sales Log'!$B$3:$B$2002,B$2))</f>
        <v/>
      </c>
      <c r="C283" t="str">
        <f>IF(OR($A283="",C$2=""),"",SUMIFS('Sales Log'!$G$3:$G$2002,'Sales Log'!$A$3:$A$2002,$A283,'Sales Log'!$B$3:$B$2002,C$2))</f>
        <v/>
      </c>
      <c r="D283" t="str">
        <f>IF(OR($A283="",D$2=""),"",SUMIFS('Sales Log'!$G$3:$G$2002,'Sales Log'!$A$3:$A$2002,$A283,'Sales Log'!$B$3:$B$2002,D$2))</f>
        <v/>
      </c>
      <c r="E283" t="str">
        <f>IF(OR($A283="",E$2=""),"",SUMIFS('Sales Log'!$G$3:$G$2002,'Sales Log'!$A$3:$A$2002,$A283,'Sales Log'!$B$3:$B$2002,E$2))</f>
        <v/>
      </c>
      <c r="F283" t="str">
        <f t="shared" si="4"/>
        <v/>
      </c>
    </row>
    <row r="284" spans="2:6">
      <c r="B284" t="str">
        <f>IF(OR($A284="",B$2=""),"",SUMIFS('Sales Log'!$G$3:$G$2002,'Sales Log'!$A$3:$A$2002,$A284,'Sales Log'!$B$3:$B$2002,B$2))</f>
        <v/>
      </c>
      <c r="C284" t="str">
        <f>IF(OR($A284="",C$2=""),"",SUMIFS('Sales Log'!$G$3:$G$2002,'Sales Log'!$A$3:$A$2002,$A284,'Sales Log'!$B$3:$B$2002,C$2))</f>
        <v/>
      </c>
      <c r="D284" t="str">
        <f>IF(OR($A284="",D$2=""),"",SUMIFS('Sales Log'!$G$3:$G$2002,'Sales Log'!$A$3:$A$2002,$A284,'Sales Log'!$B$3:$B$2002,D$2))</f>
        <v/>
      </c>
      <c r="E284" t="str">
        <f>IF(OR($A284="",E$2=""),"",SUMIFS('Sales Log'!$G$3:$G$2002,'Sales Log'!$A$3:$A$2002,$A284,'Sales Log'!$B$3:$B$2002,E$2))</f>
        <v/>
      </c>
      <c r="F284" t="str">
        <f t="shared" si="4"/>
        <v/>
      </c>
    </row>
    <row r="285" spans="2:6">
      <c r="B285" t="str">
        <f>IF(OR($A285="",B$2=""),"",SUMIFS('Sales Log'!$G$3:$G$2002,'Sales Log'!$A$3:$A$2002,$A285,'Sales Log'!$B$3:$B$2002,B$2))</f>
        <v/>
      </c>
      <c r="C285" t="str">
        <f>IF(OR($A285="",C$2=""),"",SUMIFS('Sales Log'!$G$3:$G$2002,'Sales Log'!$A$3:$A$2002,$A285,'Sales Log'!$B$3:$B$2002,C$2))</f>
        <v/>
      </c>
      <c r="D285" t="str">
        <f>IF(OR($A285="",D$2=""),"",SUMIFS('Sales Log'!$G$3:$G$2002,'Sales Log'!$A$3:$A$2002,$A285,'Sales Log'!$B$3:$B$2002,D$2))</f>
        <v/>
      </c>
      <c r="E285" t="str">
        <f>IF(OR($A285="",E$2=""),"",SUMIFS('Sales Log'!$G$3:$G$2002,'Sales Log'!$A$3:$A$2002,$A285,'Sales Log'!$B$3:$B$2002,E$2))</f>
        <v/>
      </c>
      <c r="F285" t="str">
        <f t="shared" si="4"/>
        <v/>
      </c>
    </row>
    <row r="286" spans="2:6">
      <c r="B286" t="str">
        <f>IF(OR($A286="",B$2=""),"",SUMIFS('Sales Log'!$G$3:$G$2002,'Sales Log'!$A$3:$A$2002,$A286,'Sales Log'!$B$3:$B$2002,B$2))</f>
        <v/>
      </c>
      <c r="C286" t="str">
        <f>IF(OR($A286="",C$2=""),"",SUMIFS('Sales Log'!$G$3:$G$2002,'Sales Log'!$A$3:$A$2002,$A286,'Sales Log'!$B$3:$B$2002,C$2))</f>
        <v/>
      </c>
      <c r="D286" t="str">
        <f>IF(OR($A286="",D$2=""),"",SUMIFS('Sales Log'!$G$3:$G$2002,'Sales Log'!$A$3:$A$2002,$A286,'Sales Log'!$B$3:$B$2002,D$2))</f>
        <v/>
      </c>
      <c r="E286" t="str">
        <f>IF(OR($A286="",E$2=""),"",SUMIFS('Sales Log'!$G$3:$G$2002,'Sales Log'!$A$3:$A$2002,$A286,'Sales Log'!$B$3:$B$2002,E$2))</f>
        <v/>
      </c>
      <c r="F286" t="str">
        <f t="shared" si="4"/>
        <v/>
      </c>
    </row>
    <row r="287" spans="2:6">
      <c r="B287" t="str">
        <f>IF(OR($A287="",B$2=""),"",SUMIFS('Sales Log'!$G$3:$G$2002,'Sales Log'!$A$3:$A$2002,$A287,'Sales Log'!$B$3:$B$2002,B$2))</f>
        <v/>
      </c>
      <c r="C287" t="str">
        <f>IF(OR($A287="",C$2=""),"",SUMIFS('Sales Log'!$G$3:$G$2002,'Sales Log'!$A$3:$A$2002,$A287,'Sales Log'!$B$3:$B$2002,C$2))</f>
        <v/>
      </c>
      <c r="D287" t="str">
        <f>IF(OR($A287="",D$2=""),"",SUMIFS('Sales Log'!$G$3:$G$2002,'Sales Log'!$A$3:$A$2002,$A287,'Sales Log'!$B$3:$B$2002,D$2))</f>
        <v/>
      </c>
      <c r="E287" t="str">
        <f>IF(OR($A287="",E$2=""),"",SUMIFS('Sales Log'!$G$3:$G$2002,'Sales Log'!$A$3:$A$2002,$A287,'Sales Log'!$B$3:$B$2002,E$2))</f>
        <v/>
      </c>
      <c r="F287" t="str">
        <f t="shared" si="4"/>
        <v/>
      </c>
    </row>
    <row r="288" spans="2:6">
      <c r="B288" t="str">
        <f>IF(OR($A288="",B$2=""),"",SUMIFS('Sales Log'!$G$3:$G$2002,'Sales Log'!$A$3:$A$2002,$A288,'Sales Log'!$B$3:$B$2002,B$2))</f>
        <v/>
      </c>
      <c r="C288" t="str">
        <f>IF(OR($A288="",C$2=""),"",SUMIFS('Sales Log'!$G$3:$G$2002,'Sales Log'!$A$3:$A$2002,$A288,'Sales Log'!$B$3:$B$2002,C$2))</f>
        <v/>
      </c>
      <c r="D288" t="str">
        <f>IF(OR($A288="",D$2=""),"",SUMIFS('Sales Log'!$G$3:$G$2002,'Sales Log'!$A$3:$A$2002,$A288,'Sales Log'!$B$3:$B$2002,D$2))</f>
        <v/>
      </c>
      <c r="E288" t="str">
        <f>IF(OR($A288="",E$2=""),"",SUMIFS('Sales Log'!$G$3:$G$2002,'Sales Log'!$A$3:$A$2002,$A288,'Sales Log'!$B$3:$B$2002,E$2))</f>
        <v/>
      </c>
      <c r="F288" t="str">
        <f t="shared" si="4"/>
        <v/>
      </c>
    </row>
    <row r="289" spans="2:6">
      <c r="B289" t="str">
        <f>IF(OR($A289="",B$2=""),"",SUMIFS('Sales Log'!$G$3:$G$2002,'Sales Log'!$A$3:$A$2002,$A289,'Sales Log'!$B$3:$B$2002,B$2))</f>
        <v/>
      </c>
      <c r="C289" t="str">
        <f>IF(OR($A289="",C$2=""),"",SUMIFS('Sales Log'!$G$3:$G$2002,'Sales Log'!$A$3:$A$2002,$A289,'Sales Log'!$B$3:$B$2002,C$2))</f>
        <v/>
      </c>
      <c r="D289" t="str">
        <f>IF(OR($A289="",D$2=""),"",SUMIFS('Sales Log'!$G$3:$G$2002,'Sales Log'!$A$3:$A$2002,$A289,'Sales Log'!$B$3:$B$2002,D$2))</f>
        <v/>
      </c>
      <c r="E289" t="str">
        <f>IF(OR($A289="",E$2=""),"",SUMIFS('Sales Log'!$G$3:$G$2002,'Sales Log'!$A$3:$A$2002,$A289,'Sales Log'!$B$3:$B$2002,E$2))</f>
        <v/>
      </c>
      <c r="F289" t="str">
        <f t="shared" si="4"/>
        <v/>
      </c>
    </row>
    <row r="290" spans="2:6">
      <c r="B290" t="str">
        <f>IF(OR($A290="",B$2=""),"",SUMIFS('Sales Log'!$G$3:$G$2002,'Sales Log'!$A$3:$A$2002,$A290,'Sales Log'!$B$3:$B$2002,B$2))</f>
        <v/>
      </c>
      <c r="C290" t="str">
        <f>IF(OR($A290="",C$2=""),"",SUMIFS('Sales Log'!$G$3:$G$2002,'Sales Log'!$A$3:$A$2002,$A290,'Sales Log'!$B$3:$B$2002,C$2))</f>
        <v/>
      </c>
      <c r="D290" t="str">
        <f>IF(OR($A290="",D$2=""),"",SUMIFS('Sales Log'!$G$3:$G$2002,'Sales Log'!$A$3:$A$2002,$A290,'Sales Log'!$B$3:$B$2002,D$2))</f>
        <v/>
      </c>
      <c r="E290" t="str">
        <f>IF(OR($A290="",E$2=""),"",SUMIFS('Sales Log'!$G$3:$G$2002,'Sales Log'!$A$3:$A$2002,$A290,'Sales Log'!$B$3:$B$2002,E$2))</f>
        <v/>
      </c>
      <c r="F290" t="str">
        <f t="shared" si="4"/>
        <v/>
      </c>
    </row>
    <row r="291" spans="2:6">
      <c r="B291" t="str">
        <f>IF(OR($A291="",B$2=""),"",SUMIFS('Sales Log'!$G$3:$G$2002,'Sales Log'!$A$3:$A$2002,$A291,'Sales Log'!$B$3:$B$2002,B$2))</f>
        <v/>
      </c>
      <c r="C291" t="str">
        <f>IF(OR($A291="",C$2=""),"",SUMIFS('Sales Log'!$G$3:$G$2002,'Sales Log'!$A$3:$A$2002,$A291,'Sales Log'!$B$3:$B$2002,C$2))</f>
        <v/>
      </c>
      <c r="D291" t="str">
        <f>IF(OR($A291="",D$2=""),"",SUMIFS('Sales Log'!$G$3:$G$2002,'Sales Log'!$A$3:$A$2002,$A291,'Sales Log'!$B$3:$B$2002,D$2))</f>
        <v/>
      </c>
      <c r="E291" t="str">
        <f>IF(OR($A291="",E$2=""),"",SUMIFS('Sales Log'!$G$3:$G$2002,'Sales Log'!$A$3:$A$2002,$A291,'Sales Log'!$B$3:$B$2002,E$2))</f>
        <v/>
      </c>
      <c r="F291" t="str">
        <f t="shared" si="4"/>
        <v/>
      </c>
    </row>
    <row r="292" spans="2:6">
      <c r="B292" t="str">
        <f>IF(OR($A292="",B$2=""),"",SUMIFS('Sales Log'!$G$3:$G$2002,'Sales Log'!$A$3:$A$2002,$A292,'Sales Log'!$B$3:$B$2002,B$2))</f>
        <v/>
      </c>
      <c r="C292" t="str">
        <f>IF(OR($A292="",C$2=""),"",SUMIFS('Sales Log'!$G$3:$G$2002,'Sales Log'!$A$3:$A$2002,$A292,'Sales Log'!$B$3:$B$2002,C$2))</f>
        <v/>
      </c>
      <c r="D292" t="str">
        <f>IF(OR($A292="",D$2=""),"",SUMIFS('Sales Log'!$G$3:$G$2002,'Sales Log'!$A$3:$A$2002,$A292,'Sales Log'!$B$3:$B$2002,D$2))</f>
        <v/>
      </c>
      <c r="E292" t="str">
        <f>IF(OR($A292="",E$2=""),"",SUMIFS('Sales Log'!$G$3:$G$2002,'Sales Log'!$A$3:$A$2002,$A292,'Sales Log'!$B$3:$B$2002,E$2))</f>
        <v/>
      </c>
      <c r="F292" t="str">
        <f t="shared" si="4"/>
        <v/>
      </c>
    </row>
    <row r="293" spans="2:6">
      <c r="B293" t="str">
        <f>IF(OR($A293="",B$2=""),"",SUMIFS('Sales Log'!$G$3:$G$2002,'Sales Log'!$A$3:$A$2002,$A293,'Sales Log'!$B$3:$B$2002,B$2))</f>
        <v/>
      </c>
      <c r="C293" t="str">
        <f>IF(OR($A293="",C$2=""),"",SUMIFS('Sales Log'!$G$3:$G$2002,'Sales Log'!$A$3:$A$2002,$A293,'Sales Log'!$B$3:$B$2002,C$2))</f>
        <v/>
      </c>
      <c r="D293" t="str">
        <f>IF(OR($A293="",D$2=""),"",SUMIFS('Sales Log'!$G$3:$G$2002,'Sales Log'!$A$3:$A$2002,$A293,'Sales Log'!$B$3:$B$2002,D$2))</f>
        <v/>
      </c>
      <c r="E293" t="str">
        <f>IF(OR($A293="",E$2=""),"",SUMIFS('Sales Log'!$G$3:$G$2002,'Sales Log'!$A$3:$A$2002,$A293,'Sales Log'!$B$3:$B$2002,E$2))</f>
        <v/>
      </c>
      <c r="F293" t="str">
        <f t="shared" si="4"/>
        <v/>
      </c>
    </row>
    <row r="294" spans="2:6">
      <c r="B294" t="str">
        <f>IF(OR($A294="",B$2=""),"",SUMIFS('Sales Log'!$G$3:$G$2002,'Sales Log'!$A$3:$A$2002,$A294,'Sales Log'!$B$3:$B$2002,B$2))</f>
        <v/>
      </c>
      <c r="C294" t="str">
        <f>IF(OR($A294="",C$2=""),"",SUMIFS('Sales Log'!$G$3:$G$2002,'Sales Log'!$A$3:$A$2002,$A294,'Sales Log'!$B$3:$B$2002,C$2))</f>
        <v/>
      </c>
      <c r="D294" t="str">
        <f>IF(OR($A294="",D$2=""),"",SUMIFS('Sales Log'!$G$3:$G$2002,'Sales Log'!$A$3:$A$2002,$A294,'Sales Log'!$B$3:$B$2002,D$2))</f>
        <v/>
      </c>
      <c r="E294" t="str">
        <f>IF(OR($A294="",E$2=""),"",SUMIFS('Sales Log'!$G$3:$G$2002,'Sales Log'!$A$3:$A$2002,$A294,'Sales Log'!$B$3:$B$2002,E$2))</f>
        <v/>
      </c>
      <c r="F294" t="str">
        <f t="shared" si="4"/>
        <v/>
      </c>
    </row>
    <row r="295" spans="2:6">
      <c r="B295" t="str">
        <f>IF(OR($A295="",B$2=""),"",SUMIFS('Sales Log'!$G$3:$G$2002,'Sales Log'!$A$3:$A$2002,$A295,'Sales Log'!$B$3:$B$2002,B$2))</f>
        <v/>
      </c>
      <c r="C295" t="str">
        <f>IF(OR($A295="",C$2=""),"",SUMIFS('Sales Log'!$G$3:$G$2002,'Sales Log'!$A$3:$A$2002,$A295,'Sales Log'!$B$3:$B$2002,C$2))</f>
        <v/>
      </c>
      <c r="D295" t="str">
        <f>IF(OR($A295="",D$2=""),"",SUMIFS('Sales Log'!$G$3:$G$2002,'Sales Log'!$A$3:$A$2002,$A295,'Sales Log'!$B$3:$B$2002,D$2))</f>
        <v/>
      </c>
      <c r="E295" t="str">
        <f>IF(OR($A295="",E$2=""),"",SUMIFS('Sales Log'!$G$3:$G$2002,'Sales Log'!$A$3:$A$2002,$A295,'Sales Log'!$B$3:$B$2002,E$2))</f>
        <v/>
      </c>
      <c r="F295" t="str">
        <f t="shared" si="4"/>
        <v/>
      </c>
    </row>
    <row r="296" spans="2:6">
      <c r="B296" t="str">
        <f>IF(OR($A296="",B$2=""),"",SUMIFS('Sales Log'!$G$3:$G$2002,'Sales Log'!$A$3:$A$2002,$A296,'Sales Log'!$B$3:$B$2002,B$2))</f>
        <v/>
      </c>
      <c r="C296" t="str">
        <f>IF(OR($A296="",C$2=""),"",SUMIFS('Sales Log'!$G$3:$G$2002,'Sales Log'!$A$3:$A$2002,$A296,'Sales Log'!$B$3:$B$2002,C$2))</f>
        <v/>
      </c>
      <c r="D296" t="str">
        <f>IF(OR($A296="",D$2=""),"",SUMIFS('Sales Log'!$G$3:$G$2002,'Sales Log'!$A$3:$A$2002,$A296,'Sales Log'!$B$3:$B$2002,D$2))</f>
        <v/>
      </c>
      <c r="E296" t="str">
        <f>IF(OR($A296="",E$2=""),"",SUMIFS('Sales Log'!$G$3:$G$2002,'Sales Log'!$A$3:$A$2002,$A296,'Sales Log'!$B$3:$B$2002,E$2))</f>
        <v/>
      </c>
      <c r="F296" t="str">
        <f t="shared" si="4"/>
        <v/>
      </c>
    </row>
    <row r="297" spans="2:6">
      <c r="B297" t="str">
        <f>IF(OR($A297="",B$2=""),"",SUMIFS('Sales Log'!$G$3:$G$2002,'Sales Log'!$A$3:$A$2002,$A297,'Sales Log'!$B$3:$B$2002,B$2))</f>
        <v/>
      </c>
      <c r="C297" t="str">
        <f>IF(OR($A297="",C$2=""),"",SUMIFS('Sales Log'!$G$3:$G$2002,'Sales Log'!$A$3:$A$2002,$A297,'Sales Log'!$B$3:$B$2002,C$2))</f>
        <v/>
      </c>
      <c r="D297" t="str">
        <f>IF(OR($A297="",D$2=""),"",SUMIFS('Sales Log'!$G$3:$G$2002,'Sales Log'!$A$3:$A$2002,$A297,'Sales Log'!$B$3:$B$2002,D$2))</f>
        <v/>
      </c>
      <c r="E297" t="str">
        <f>IF(OR($A297="",E$2=""),"",SUMIFS('Sales Log'!$G$3:$G$2002,'Sales Log'!$A$3:$A$2002,$A297,'Sales Log'!$B$3:$B$2002,E$2))</f>
        <v/>
      </c>
      <c r="F297" t="str">
        <f t="shared" si="4"/>
        <v/>
      </c>
    </row>
    <row r="298" spans="2:6">
      <c r="B298" t="str">
        <f>IF(OR($A298="",B$2=""),"",SUMIFS('Sales Log'!$G$3:$G$2002,'Sales Log'!$A$3:$A$2002,$A298,'Sales Log'!$B$3:$B$2002,B$2))</f>
        <v/>
      </c>
      <c r="C298" t="str">
        <f>IF(OR($A298="",C$2=""),"",SUMIFS('Sales Log'!$G$3:$G$2002,'Sales Log'!$A$3:$A$2002,$A298,'Sales Log'!$B$3:$B$2002,C$2))</f>
        <v/>
      </c>
      <c r="D298" t="str">
        <f>IF(OR($A298="",D$2=""),"",SUMIFS('Sales Log'!$G$3:$G$2002,'Sales Log'!$A$3:$A$2002,$A298,'Sales Log'!$B$3:$B$2002,D$2))</f>
        <v/>
      </c>
      <c r="E298" t="str">
        <f>IF(OR($A298="",E$2=""),"",SUMIFS('Sales Log'!$G$3:$G$2002,'Sales Log'!$A$3:$A$2002,$A298,'Sales Log'!$B$3:$B$2002,E$2))</f>
        <v/>
      </c>
      <c r="F298" t="str">
        <f t="shared" si="4"/>
        <v/>
      </c>
    </row>
    <row r="299" spans="2:6">
      <c r="B299" t="str">
        <f>IF(OR($A299="",B$2=""),"",SUMIFS('Sales Log'!$G$3:$G$2002,'Sales Log'!$A$3:$A$2002,$A299,'Sales Log'!$B$3:$B$2002,B$2))</f>
        <v/>
      </c>
      <c r="C299" t="str">
        <f>IF(OR($A299="",C$2=""),"",SUMIFS('Sales Log'!$G$3:$G$2002,'Sales Log'!$A$3:$A$2002,$A299,'Sales Log'!$B$3:$B$2002,C$2))</f>
        <v/>
      </c>
      <c r="D299" t="str">
        <f>IF(OR($A299="",D$2=""),"",SUMIFS('Sales Log'!$G$3:$G$2002,'Sales Log'!$A$3:$A$2002,$A299,'Sales Log'!$B$3:$B$2002,D$2))</f>
        <v/>
      </c>
      <c r="E299" t="str">
        <f>IF(OR($A299="",E$2=""),"",SUMIFS('Sales Log'!$G$3:$G$2002,'Sales Log'!$A$3:$A$2002,$A299,'Sales Log'!$B$3:$B$2002,E$2))</f>
        <v/>
      </c>
      <c r="F299" t="str">
        <f t="shared" si="4"/>
        <v/>
      </c>
    </row>
    <row r="300" spans="2:6">
      <c r="B300" t="str">
        <f>IF(OR($A300="",B$2=""),"",SUMIFS('Sales Log'!$G$3:$G$2002,'Sales Log'!$A$3:$A$2002,$A300,'Sales Log'!$B$3:$B$2002,B$2))</f>
        <v/>
      </c>
      <c r="C300" t="str">
        <f>IF(OR($A300="",C$2=""),"",SUMIFS('Sales Log'!$G$3:$G$2002,'Sales Log'!$A$3:$A$2002,$A300,'Sales Log'!$B$3:$B$2002,C$2))</f>
        <v/>
      </c>
      <c r="D300" t="str">
        <f>IF(OR($A300="",D$2=""),"",SUMIFS('Sales Log'!$G$3:$G$2002,'Sales Log'!$A$3:$A$2002,$A300,'Sales Log'!$B$3:$B$2002,D$2))</f>
        <v/>
      </c>
      <c r="E300" t="str">
        <f>IF(OR($A300="",E$2=""),"",SUMIFS('Sales Log'!$G$3:$G$2002,'Sales Log'!$A$3:$A$2002,$A300,'Sales Log'!$B$3:$B$2002,E$2))</f>
        <v/>
      </c>
      <c r="F300" t="str">
        <f t="shared" si="4"/>
        <v/>
      </c>
    </row>
    <row r="301" spans="2:6">
      <c r="B301" t="str">
        <f>IF(OR($A301="",B$2=""),"",SUMIFS('Sales Log'!$G$3:$G$2002,'Sales Log'!$A$3:$A$2002,$A301,'Sales Log'!$B$3:$B$2002,B$2))</f>
        <v/>
      </c>
      <c r="C301" t="str">
        <f>IF(OR($A301="",C$2=""),"",SUMIFS('Sales Log'!$G$3:$G$2002,'Sales Log'!$A$3:$A$2002,$A301,'Sales Log'!$B$3:$B$2002,C$2))</f>
        <v/>
      </c>
      <c r="D301" t="str">
        <f>IF(OR($A301="",D$2=""),"",SUMIFS('Sales Log'!$G$3:$G$2002,'Sales Log'!$A$3:$A$2002,$A301,'Sales Log'!$B$3:$B$2002,D$2))</f>
        <v/>
      </c>
      <c r="E301" t="str">
        <f>IF(OR($A301="",E$2=""),"",SUMIFS('Sales Log'!$G$3:$G$2002,'Sales Log'!$A$3:$A$2002,$A301,'Sales Log'!$B$3:$B$2002,E$2))</f>
        <v/>
      </c>
      <c r="F301" t="str">
        <f t="shared" si="4"/>
        <v/>
      </c>
    </row>
    <row r="302" spans="2:6">
      <c r="B302" t="str">
        <f>IF(OR($A302="",B$2=""),"",SUMIFS('Sales Log'!$G$3:$G$2002,'Sales Log'!$A$3:$A$2002,$A302,'Sales Log'!$B$3:$B$2002,B$2))</f>
        <v/>
      </c>
      <c r="C302" t="str">
        <f>IF(OR($A302="",C$2=""),"",SUMIFS('Sales Log'!$G$3:$G$2002,'Sales Log'!$A$3:$A$2002,$A302,'Sales Log'!$B$3:$B$2002,C$2))</f>
        <v/>
      </c>
      <c r="D302" t="str">
        <f>IF(OR($A302="",D$2=""),"",SUMIFS('Sales Log'!$G$3:$G$2002,'Sales Log'!$A$3:$A$2002,$A302,'Sales Log'!$B$3:$B$2002,D$2))</f>
        <v/>
      </c>
      <c r="E302" t="str">
        <f>IF(OR($A302="",E$2=""),"",SUMIFS('Sales Log'!$G$3:$G$2002,'Sales Log'!$A$3:$A$2002,$A302,'Sales Log'!$B$3:$B$2002,E$2))</f>
        <v/>
      </c>
      <c r="F302" t="str">
        <f t="shared" si="4"/>
        <v/>
      </c>
    </row>
    <row r="303" spans="2:6">
      <c r="B303" t="str">
        <f>IF(OR($A303="",B$2=""),"",SUMIFS('Sales Log'!$G$3:$G$2002,'Sales Log'!$A$3:$A$2002,$A303,'Sales Log'!$B$3:$B$2002,B$2))</f>
        <v/>
      </c>
      <c r="C303" t="str">
        <f>IF(OR($A303="",C$2=""),"",SUMIFS('Sales Log'!$G$3:$G$2002,'Sales Log'!$A$3:$A$2002,$A303,'Sales Log'!$B$3:$B$2002,C$2))</f>
        <v/>
      </c>
      <c r="D303" t="str">
        <f>IF(OR($A303="",D$2=""),"",SUMIFS('Sales Log'!$G$3:$G$2002,'Sales Log'!$A$3:$A$2002,$A303,'Sales Log'!$B$3:$B$2002,D$2))</f>
        <v/>
      </c>
      <c r="E303" t="str">
        <f>IF(OR($A303="",E$2=""),"",SUMIFS('Sales Log'!$G$3:$G$2002,'Sales Log'!$A$3:$A$2002,$A303,'Sales Log'!$B$3:$B$2002,E$2))</f>
        <v/>
      </c>
      <c r="F303" t="str">
        <f t="shared" si="4"/>
        <v/>
      </c>
    </row>
    <row r="304" spans="2:6">
      <c r="B304" t="str">
        <f>IF(OR($A304="",B$2=""),"",SUMIFS('Sales Log'!$G$3:$G$2002,'Sales Log'!$A$3:$A$2002,$A304,'Sales Log'!$B$3:$B$2002,B$2))</f>
        <v/>
      </c>
      <c r="C304" t="str">
        <f>IF(OR($A304="",C$2=""),"",SUMIFS('Sales Log'!$G$3:$G$2002,'Sales Log'!$A$3:$A$2002,$A304,'Sales Log'!$B$3:$B$2002,C$2))</f>
        <v/>
      </c>
      <c r="D304" t="str">
        <f>IF(OR($A304="",D$2=""),"",SUMIFS('Sales Log'!$G$3:$G$2002,'Sales Log'!$A$3:$A$2002,$A304,'Sales Log'!$B$3:$B$2002,D$2))</f>
        <v/>
      </c>
      <c r="E304" t="str">
        <f>IF(OR($A304="",E$2=""),"",SUMIFS('Sales Log'!$G$3:$G$2002,'Sales Log'!$A$3:$A$2002,$A304,'Sales Log'!$B$3:$B$2002,E$2))</f>
        <v/>
      </c>
      <c r="F304" t="str">
        <f t="shared" si="4"/>
        <v/>
      </c>
    </row>
    <row r="305" spans="2:6">
      <c r="B305" t="str">
        <f>IF(OR($A305="",B$2=""),"",SUMIFS('Sales Log'!$G$3:$G$2002,'Sales Log'!$A$3:$A$2002,$A305,'Sales Log'!$B$3:$B$2002,B$2))</f>
        <v/>
      </c>
      <c r="C305" t="str">
        <f>IF(OR($A305="",C$2=""),"",SUMIFS('Sales Log'!$G$3:$G$2002,'Sales Log'!$A$3:$A$2002,$A305,'Sales Log'!$B$3:$B$2002,C$2))</f>
        <v/>
      </c>
      <c r="D305" t="str">
        <f>IF(OR($A305="",D$2=""),"",SUMIFS('Sales Log'!$G$3:$G$2002,'Sales Log'!$A$3:$A$2002,$A305,'Sales Log'!$B$3:$B$2002,D$2))</f>
        <v/>
      </c>
      <c r="E305" t="str">
        <f>IF(OR($A305="",E$2=""),"",SUMIFS('Sales Log'!$G$3:$G$2002,'Sales Log'!$A$3:$A$2002,$A305,'Sales Log'!$B$3:$B$2002,E$2))</f>
        <v/>
      </c>
      <c r="F305" t="str">
        <f t="shared" si="4"/>
        <v/>
      </c>
    </row>
    <row r="306" spans="2:6">
      <c r="B306" t="str">
        <f>IF(OR($A306="",B$2=""),"",SUMIFS('Sales Log'!$G$3:$G$2002,'Sales Log'!$A$3:$A$2002,$A306,'Sales Log'!$B$3:$B$2002,B$2))</f>
        <v/>
      </c>
      <c r="C306" t="str">
        <f>IF(OR($A306="",C$2=""),"",SUMIFS('Sales Log'!$G$3:$G$2002,'Sales Log'!$A$3:$A$2002,$A306,'Sales Log'!$B$3:$B$2002,C$2))</f>
        <v/>
      </c>
      <c r="D306" t="str">
        <f>IF(OR($A306="",D$2=""),"",SUMIFS('Sales Log'!$G$3:$G$2002,'Sales Log'!$A$3:$A$2002,$A306,'Sales Log'!$B$3:$B$2002,D$2))</f>
        <v/>
      </c>
      <c r="E306" t="str">
        <f>IF(OR($A306="",E$2=""),"",SUMIFS('Sales Log'!$G$3:$G$2002,'Sales Log'!$A$3:$A$2002,$A306,'Sales Log'!$B$3:$B$2002,E$2))</f>
        <v/>
      </c>
      <c r="F306" t="str">
        <f t="shared" si="4"/>
        <v/>
      </c>
    </row>
    <row r="307" spans="2:6">
      <c r="B307" t="str">
        <f>IF(OR($A307="",B$2=""),"",SUMIFS('Sales Log'!$G$3:$G$2002,'Sales Log'!$A$3:$A$2002,$A307,'Sales Log'!$B$3:$B$2002,B$2))</f>
        <v/>
      </c>
      <c r="C307" t="str">
        <f>IF(OR($A307="",C$2=""),"",SUMIFS('Sales Log'!$G$3:$G$2002,'Sales Log'!$A$3:$A$2002,$A307,'Sales Log'!$B$3:$B$2002,C$2))</f>
        <v/>
      </c>
      <c r="D307" t="str">
        <f>IF(OR($A307="",D$2=""),"",SUMIFS('Sales Log'!$G$3:$G$2002,'Sales Log'!$A$3:$A$2002,$A307,'Sales Log'!$B$3:$B$2002,D$2))</f>
        <v/>
      </c>
      <c r="E307" t="str">
        <f>IF(OR($A307="",E$2=""),"",SUMIFS('Sales Log'!$G$3:$G$2002,'Sales Log'!$A$3:$A$2002,$A307,'Sales Log'!$B$3:$B$2002,E$2))</f>
        <v/>
      </c>
      <c r="F307" t="str">
        <f t="shared" si="4"/>
        <v/>
      </c>
    </row>
    <row r="308" spans="2:6">
      <c r="B308" t="str">
        <f>IF(OR($A308="",B$2=""),"",SUMIFS('Sales Log'!$G$3:$G$2002,'Sales Log'!$A$3:$A$2002,$A308,'Sales Log'!$B$3:$B$2002,B$2))</f>
        <v/>
      </c>
      <c r="C308" t="str">
        <f>IF(OR($A308="",C$2=""),"",SUMIFS('Sales Log'!$G$3:$G$2002,'Sales Log'!$A$3:$A$2002,$A308,'Sales Log'!$B$3:$B$2002,C$2))</f>
        <v/>
      </c>
      <c r="D308" t="str">
        <f>IF(OR($A308="",D$2=""),"",SUMIFS('Sales Log'!$G$3:$G$2002,'Sales Log'!$A$3:$A$2002,$A308,'Sales Log'!$B$3:$B$2002,D$2))</f>
        <v/>
      </c>
      <c r="E308" t="str">
        <f>IF(OR($A308="",E$2=""),"",SUMIFS('Sales Log'!$G$3:$G$2002,'Sales Log'!$A$3:$A$2002,$A308,'Sales Log'!$B$3:$B$2002,E$2))</f>
        <v/>
      </c>
      <c r="F308" t="str">
        <f t="shared" si="4"/>
        <v/>
      </c>
    </row>
    <row r="309" spans="2:6">
      <c r="B309" t="str">
        <f>IF(OR($A309="",B$2=""),"",SUMIFS('Sales Log'!$G$3:$G$2002,'Sales Log'!$A$3:$A$2002,$A309,'Sales Log'!$B$3:$B$2002,B$2))</f>
        <v/>
      </c>
      <c r="C309" t="str">
        <f>IF(OR($A309="",C$2=""),"",SUMIFS('Sales Log'!$G$3:$G$2002,'Sales Log'!$A$3:$A$2002,$A309,'Sales Log'!$B$3:$B$2002,C$2))</f>
        <v/>
      </c>
      <c r="D309" t="str">
        <f>IF(OR($A309="",D$2=""),"",SUMIFS('Sales Log'!$G$3:$G$2002,'Sales Log'!$A$3:$A$2002,$A309,'Sales Log'!$B$3:$B$2002,D$2))</f>
        <v/>
      </c>
      <c r="E309" t="str">
        <f>IF(OR($A309="",E$2=""),"",SUMIFS('Sales Log'!$G$3:$G$2002,'Sales Log'!$A$3:$A$2002,$A309,'Sales Log'!$B$3:$B$2002,E$2))</f>
        <v/>
      </c>
      <c r="F309" t="str">
        <f t="shared" si="4"/>
        <v/>
      </c>
    </row>
    <row r="310" spans="2:6">
      <c r="B310" t="str">
        <f>IF(OR($A310="",B$2=""),"",SUMIFS('Sales Log'!$G$3:$G$2002,'Sales Log'!$A$3:$A$2002,$A310,'Sales Log'!$B$3:$B$2002,B$2))</f>
        <v/>
      </c>
      <c r="C310" t="str">
        <f>IF(OR($A310="",C$2=""),"",SUMIFS('Sales Log'!$G$3:$G$2002,'Sales Log'!$A$3:$A$2002,$A310,'Sales Log'!$B$3:$B$2002,C$2))</f>
        <v/>
      </c>
      <c r="D310" t="str">
        <f>IF(OR($A310="",D$2=""),"",SUMIFS('Sales Log'!$G$3:$G$2002,'Sales Log'!$A$3:$A$2002,$A310,'Sales Log'!$B$3:$B$2002,D$2))</f>
        <v/>
      </c>
      <c r="E310" t="str">
        <f>IF(OR($A310="",E$2=""),"",SUMIFS('Sales Log'!$G$3:$G$2002,'Sales Log'!$A$3:$A$2002,$A310,'Sales Log'!$B$3:$B$2002,E$2))</f>
        <v/>
      </c>
      <c r="F310" t="str">
        <f t="shared" si="4"/>
        <v/>
      </c>
    </row>
    <row r="311" spans="2:6">
      <c r="B311" t="str">
        <f>IF(OR($A311="",B$2=""),"",SUMIFS('Sales Log'!$G$3:$G$2002,'Sales Log'!$A$3:$A$2002,$A311,'Sales Log'!$B$3:$B$2002,B$2))</f>
        <v/>
      </c>
      <c r="C311" t="str">
        <f>IF(OR($A311="",C$2=""),"",SUMIFS('Sales Log'!$G$3:$G$2002,'Sales Log'!$A$3:$A$2002,$A311,'Sales Log'!$B$3:$B$2002,C$2))</f>
        <v/>
      </c>
      <c r="D311" t="str">
        <f>IF(OR($A311="",D$2=""),"",SUMIFS('Sales Log'!$G$3:$G$2002,'Sales Log'!$A$3:$A$2002,$A311,'Sales Log'!$B$3:$B$2002,D$2))</f>
        <v/>
      </c>
      <c r="E311" t="str">
        <f>IF(OR($A311="",E$2=""),"",SUMIFS('Sales Log'!$G$3:$G$2002,'Sales Log'!$A$3:$A$2002,$A311,'Sales Log'!$B$3:$B$2002,E$2))</f>
        <v/>
      </c>
      <c r="F311" t="str">
        <f t="shared" si="4"/>
        <v/>
      </c>
    </row>
    <row r="312" spans="2:6">
      <c r="B312" t="str">
        <f>IF(OR($A312="",B$2=""),"",SUMIFS('Sales Log'!$G$3:$G$2002,'Sales Log'!$A$3:$A$2002,$A312,'Sales Log'!$B$3:$B$2002,B$2))</f>
        <v/>
      </c>
      <c r="C312" t="str">
        <f>IF(OR($A312="",C$2=""),"",SUMIFS('Sales Log'!$G$3:$G$2002,'Sales Log'!$A$3:$A$2002,$A312,'Sales Log'!$B$3:$B$2002,C$2))</f>
        <v/>
      </c>
      <c r="D312" t="str">
        <f>IF(OR($A312="",D$2=""),"",SUMIFS('Sales Log'!$G$3:$G$2002,'Sales Log'!$A$3:$A$2002,$A312,'Sales Log'!$B$3:$B$2002,D$2))</f>
        <v/>
      </c>
      <c r="E312" t="str">
        <f>IF(OR($A312="",E$2=""),"",SUMIFS('Sales Log'!$G$3:$G$2002,'Sales Log'!$A$3:$A$2002,$A312,'Sales Log'!$B$3:$B$2002,E$2))</f>
        <v/>
      </c>
      <c r="F312" t="str">
        <f t="shared" si="4"/>
        <v/>
      </c>
    </row>
    <row r="313" spans="2:6">
      <c r="B313" t="str">
        <f>IF(OR($A313="",B$2=""),"",SUMIFS('Sales Log'!$G$3:$G$2002,'Sales Log'!$A$3:$A$2002,$A313,'Sales Log'!$B$3:$B$2002,B$2))</f>
        <v/>
      </c>
      <c r="C313" t="str">
        <f>IF(OR($A313="",C$2=""),"",SUMIFS('Sales Log'!$G$3:$G$2002,'Sales Log'!$A$3:$A$2002,$A313,'Sales Log'!$B$3:$B$2002,C$2))</f>
        <v/>
      </c>
      <c r="D313" t="str">
        <f>IF(OR($A313="",D$2=""),"",SUMIFS('Sales Log'!$G$3:$G$2002,'Sales Log'!$A$3:$A$2002,$A313,'Sales Log'!$B$3:$B$2002,D$2))</f>
        <v/>
      </c>
      <c r="E313" t="str">
        <f>IF(OR($A313="",E$2=""),"",SUMIFS('Sales Log'!$G$3:$G$2002,'Sales Log'!$A$3:$A$2002,$A313,'Sales Log'!$B$3:$B$2002,E$2))</f>
        <v/>
      </c>
      <c r="F313" t="str">
        <f t="shared" si="4"/>
        <v/>
      </c>
    </row>
    <row r="314" spans="2:6">
      <c r="B314" t="str">
        <f>IF(OR($A314="",B$2=""),"",SUMIFS('Sales Log'!$G$3:$G$2002,'Sales Log'!$A$3:$A$2002,$A314,'Sales Log'!$B$3:$B$2002,B$2))</f>
        <v/>
      </c>
      <c r="C314" t="str">
        <f>IF(OR($A314="",C$2=""),"",SUMIFS('Sales Log'!$G$3:$G$2002,'Sales Log'!$A$3:$A$2002,$A314,'Sales Log'!$B$3:$B$2002,C$2))</f>
        <v/>
      </c>
      <c r="D314" t="str">
        <f>IF(OR($A314="",D$2=""),"",SUMIFS('Sales Log'!$G$3:$G$2002,'Sales Log'!$A$3:$A$2002,$A314,'Sales Log'!$B$3:$B$2002,D$2))</f>
        <v/>
      </c>
      <c r="E314" t="str">
        <f>IF(OR($A314="",E$2=""),"",SUMIFS('Sales Log'!$G$3:$G$2002,'Sales Log'!$A$3:$A$2002,$A314,'Sales Log'!$B$3:$B$2002,E$2))</f>
        <v/>
      </c>
      <c r="F314" t="str">
        <f t="shared" si="4"/>
        <v/>
      </c>
    </row>
    <row r="315" spans="2:6">
      <c r="B315" t="str">
        <f>IF(OR($A315="",B$2=""),"",SUMIFS('Sales Log'!$G$3:$G$2002,'Sales Log'!$A$3:$A$2002,$A315,'Sales Log'!$B$3:$B$2002,B$2))</f>
        <v/>
      </c>
      <c r="C315" t="str">
        <f>IF(OR($A315="",C$2=""),"",SUMIFS('Sales Log'!$G$3:$G$2002,'Sales Log'!$A$3:$A$2002,$A315,'Sales Log'!$B$3:$B$2002,C$2))</f>
        <v/>
      </c>
      <c r="D315" t="str">
        <f>IF(OR($A315="",D$2=""),"",SUMIFS('Sales Log'!$G$3:$G$2002,'Sales Log'!$A$3:$A$2002,$A315,'Sales Log'!$B$3:$B$2002,D$2))</f>
        <v/>
      </c>
      <c r="E315" t="str">
        <f>IF(OR($A315="",E$2=""),"",SUMIFS('Sales Log'!$G$3:$G$2002,'Sales Log'!$A$3:$A$2002,$A315,'Sales Log'!$B$3:$B$2002,E$2))</f>
        <v/>
      </c>
      <c r="F315" t="str">
        <f t="shared" si="4"/>
        <v/>
      </c>
    </row>
    <row r="316" spans="2:6">
      <c r="B316" t="str">
        <f>IF(OR($A316="",B$2=""),"",SUMIFS('Sales Log'!$G$3:$G$2002,'Sales Log'!$A$3:$A$2002,$A316,'Sales Log'!$B$3:$B$2002,B$2))</f>
        <v/>
      </c>
      <c r="C316" t="str">
        <f>IF(OR($A316="",C$2=""),"",SUMIFS('Sales Log'!$G$3:$G$2002,'Sales Log'!$A$3:$A$2002,$A316,'Sales Log'!$B$3:$B$2002,C$2))</f>
        <v/>
      </c>
      <c r="D316" t="str">
        <f>IF(OR($A316="",D$2=""),"",SUMIFS('Sales Log'!$G$3:$G$2002,'Sales Log'!$A$3:$A$2002,$A316,'Sales Log'!$B$3:$B$2002,D$2))</f>
        <v/>
      </c>
      <c r="E316" t="str">
        <f>IF(OR($A316="",E$2=""),"",SUMIFS('Sales Log'!$G$3:$G$2002,'Sales Log'!$A$3:$A$2002,$A316,'Sales Log'!$B$3:$B$2002,E$2))</f>
        <v/>
      </c>
      <c r="F316" t="str">
        <f t="shared" si="4"/>
        <v/>
      </c>
    </row>
    <row r="317" spans="2:6">
      <c r="B317" t="str">
        <f>IF(OR($A317="",B$2=""),"",SUMIFS('Sales Log'!$G$3:$G$2002,'Sales Log'!$A$3:$A$2002,$A317,'Sales Log'!$B$3:$B$2002,B$2))</f>
        <v/>
      </c>
      <c r="C317" t="str">
        <f>IF(OR($A317="",C$2=""),"",SUMIFS('Sales Log'!$G$3:$G$2002,'Sales Log'!$A$3:$A$2002,$A317,'Sales Log'!$B$3:$B$2002,C$2))</f>
        <v/>
      </c>
      <c r="D317" t="str">
        <f>IF(OR($A317="",D$2=""),"",SUMIFS('Sales Log'!$G$3:$G$2002,'Sales Log'!$A$3:$A$2002,$A317,'Sales Log'!$B$3:$B$2002,D$2))</f>
        <v/>
      </c>
      <c r="E317" t="str">
        <f>IF(OR($A317="",E$2=""),"",SUMIFS('Sales Log'!$G$3:$G$2002,'Sales Log'!$A$3:$A$2002,$A317,'Sales Log'!$B$3:$B$2002,E$2))</f>
        <v/>
      </c>
      <c r="F317" t="str">
        <f t="shared" si="4"/>
        <v/>
      </c>
    </row>
    <row r="318" spans="2:6">
      <c r="B318" t="str">
        <f>IF(OR($A318="",B$2=""),"",SUMIFS('Sales Log'!$G$3:$G$2002,'Sales Log'!$A$3:$A$2002,$A318,'Sales Log'!$B$3:$B$2002,B$2))</f>
        <v/>
      </c>
      <c r="C318" t="str">
        <f>IF(OR($A318="",C$2=""),"",SUMIFS('Sales Log'!$G$3:$G$2002,'Sales Log'!$A$3:$A$2002,$A318,'Sales Log'!$B$3:$B$2002,C$2))</f>
        <v/>
      </c>
      <c r="D318" t="str">
        <f>IF(OR($A318="",D$2=""),"",SUMIFS('Sales Log'!$G$3:$G$2002,'Sales Log'!$A$3:$A$2002,$A318,'Sales Log'!$B$3:$B$2002,D$2))</f>
        <v/>
      </c>
      <c r="E318" t="str">
        <f>IF(OR($A318="",E$2=""),"",SUMIFS('Sales Log'!$G$3:$G$2002,'Sales Log'!$A$3:$A$2002,$A318,'Sales Log'!$B$3:$B$2002,E$2))</f>
        <v/>
      </c>
      <c r="F318" t="str">
        <f t="shared" si="4"/>
        <v/>
      </c>
    </row>
    <row r="319" spans="2:6">
      <c r="B319" t="str">
        <f>IF(OR($A319="",B$2=""),"",SUMIFS('Sales Log'!$G$3:$G$2002,'Sales Log'!$A$3:$A$2002,$A319,'Sales Log'!$B$3:$B$2002,B$2))</f>
        <v/>
      </c>
      <c r="C319" t="str">
        <f>IF(OR($A319="",C$2=""),"",SUMIFS('Sales Log'!$G$3:$G$2002,'Sales Log'!$A$3:$A$2002,$A319,'Sales Log'!$B$3:$B$2002,C$2))</f>
        <v/>
      </c>
      <c r="D319" t="str">
        <f>IF(OR($A319="",D$2=""),"",SUMIFS('Sales Log'!$G$3:$G$2002,'Sales Log'!$A$3:$A$2002,$A319,'Sales Log'!$B$3:$B$2002,D$2))</f>
        <v/>
      </c>
      <c r="E319" t="str">
        <f>IF(OR($A319="",E$2=""),"",SUMIFS('Sales Log'!$G$3:$G$2002,'Sales Log'!$A$3:$A$2002,$A319,'Sales Log'!$B$3:$B$2002,E$2))</f>
        <v/>
      </c>
      <c r="F319" t="str">
        <f t="shared" si="4"/>
        <v/>
      </c>
    </row>
    <row r="320" spans="2:6">
      <c r="B320" t="str">
        <f>IF(OR($A320="",B$2=""),"",SUMIFS('Sales Log'!$G$3:$G$2002,'Sales Log'!$A$3:$A$2002,$A320,'Sales Log'!$B$3:$B$2002,B$2))</f>
        <v/>
      </c>
      <c r="C320" t="str">
        <f>IF(OR($A320="",C$2=""),"",SUMIFS('Sales Log'!$G$3:$G$2002,'Sales Log'!$A$3:$A$2002,$A320,'Sales Log'!$B$3:$B$2002,C$2))</f>
        <v/>
      </c>
      <c r="D320" t="str">
        <f>IF(OR($A320="",D$2=""),"",SUMIFS('Sales Log'!$G$3:$G$2002,'Sales Log'!$A$3:$A$2002,$A320,'Sales Log'!$B$3:$B$2002,D$2))</f>
        <v/>
      </c>
      <c r="E320" t="str">
        <f>IF(OR($A320="",E$2=""),"",SUMIFS('Sales Log'!$G$3:$G$2002,'Sales Log'!$A$3:$A$2002,$A320,'Sales Log'!$B$3:$B$2002,E$2))</f>
        <v/>
      </c>
      <c r="F320" t="str">
        <f t="shared" si="4"/>
        <v/>
      </c>
    </row>
    <row r="321" spans="2:6">
      <c r="B321" t="str">
        <f>IF(OR($A321="",B$2=""),"",SUMIFS('Sales Log'!$G$3:$G$2002,'Sales Log'!$A$3:$A$2002,$A321,'Sales Log'!$B$3:$B$2002,B$2))</f>
        <v/>
      </c>
      <c r="C321" t="str">
        <f>IF(OR($A321="",C$2=""),"",SUMIFS('Sales Log'!$G$3:$G$2002,'Sales Log'!$A$3:$A$2002,$A321,'Sales Log'!$B$3:$B$2002,C$2))</f>
        <v/>
      </c>
      <c r="D321" t="str">
        <f>IF(OR($A321="",D$2=""),"",SUMIFS('Sales Log'!$G$3:$G$2002,'Sales Log'!$A$3:$A$2002,$A321,'Sales Log'!$B$3:$B$2002,D$2))</f>
        <v/>
      </c>
      <c r="E321" t="str">
        <f>IF(OR($A321="",E$2=""),"",SUMIFS('Sales Log'!$G$3:$G$2002,'Sales Log'!$A$3:$A$2002,$A321,'Sales Log'!$B$3:$B$2002,E$2))</f>
        <v/>
      </c>
      <c r="F321" t="str">
        <f t="shared" si="4"/>
        <v/>
      </c>
    </row>
    <row r="322" spans="2:6">
      <c r="B322" t="str">
        <f>IF(OR($A322="",B$2=""),"",SUMIFS('Sales Log'!$G$3:$G$2002,'Sales Log'!$A$3:$A$2002,$A322,'Sales Log'!$B$3:$B$2002,B$2))</f>
        <v/>
      </c>
      <c r="C322" t="str">
        <f>IF(OR($A322="",C$2=""),"",SUMIFS('Sales Log'!$G$3:$G$2002,'Sales Log'!$A$3:$A$2002,$A322,'Sales Log'!$B$3:$B$2002,C$2))</f>
        <v/>
      </c>
      <c r="D322" t="str">
        <f>IF(OR($A322="",D$2=""),"",SUMIFS('Sales Log'!$G$3:$G$2002,'Sales Log'!$A$3:$A$2002,$A322,'Sales Log'!$B$3:$B$2002,D$2))</f>
        <v/>
      </c>
      <c r="E322" t="str">
        <f>IF(OR($A322="",E$2=""),"",SUMIFS('Sales Log'!$G$3:$G$2002,'Sales Log'!$A$3:$A$2002,$A322,'Sales Log'!$B$3:$B$2002,E$2))</f>
        <v/>
      </c>
      <c r="F322" t="str">
        <f t="shared" si="4"/>
        <v/>
      </c>
    </row>
    <row r="323" spans="2:6">
      <c r="B323" t="str">
        <f>IF(OR($A323="",B$2=""),"",SUMIFS('Sales Log'!$G$3:$G$2002,'Sales Log'!$A$3:$A$2002,$A323,'Sales Log'!$B$3:$B$2002,B$2))</f>
        <v/>
      </c>
      <c r="C323" t="str">
        <f>IF(OR($A323="",C$2=""),"",SUMIFS('Sales Log'!$G$3:$G$2002,'Sales Log'!$A$3:$A$2002,$A323,'Sales Log'!$B$3:$B$2002,C$2))</f>
        <v/>
      </c>
      <c r="D323" t="str">
        <f>IF(OR($A323="",D$2=""),"",SUMIFS('Sales Log'!$G$3:$G$2002,'Sales Log'!$A$3:$A$2002,$A323,'Sales Log'!$B$3:$B$2002,D$2))</f>
        <v/>
      </c>
      <c r="E323" t="str">
        <f>IF(OR($A323="",E$2=""),"",SUMIFS('Sales Log'!$G$3:$G$2002,'Sales Log'!$A$3:$A$2002,$A323,'Sales Log'!$B$3:$B$2002,E$2))</f>
        <v/>
      </c>
      <c r="F323" t="str">
        <f t="shared" ref="F323:F367" si="5">IF(A323="","",SUM(B323:E323))</f>
        <v/>
      </c>
    </row>
    <row r="324" spans="2:6">
      <c r="B324" t="str">
        <f>IF(OR($A324="",B$2=""),"",SUMIFS('Sales Log'!$G$3:$G$2002,'Sales Log'!$A$3:$A$2002,$A324,'Sales Log'!$B$3:$B$2002,B$2))</f>
        <v/>
      </c>
      <c r="C324" t="str">
        <f>IF(OR($A324="",C$2=""),"",SUMIFS('Sales Log'!$G$3:$G$2002,'Sales Log'!$A$3:$A$2002,$A324,'Sales Log'!$B$3:$B$2002,C$2))</f>
        <v/>
      </c>
      <c r="D324" t="str">
        <f>IF(OR($A324="",D$2=""),"",SUMIFS('Sales Log'!$G$3:$G$2002,'Sales Log'!$A$3:$A$2002,$A324,'Sales Log'!$B$3:$B$2002,D$2))</f>
        <v/>
      </c>
      <c r="E324" t="str">
        <f>IF(OR($A324="",E$2=""),"",SUMIFS('Sales Log'!$G$3:$G$2002,'Sales Log'!$A$3:$A$2002,$A324,'Sales Log'!$B$3:$B$2002,E$2))</f>
        <v/>
      </c>
      <c r="F324" t="str">
        <f t="shared" si="5"/>
        <v/>
      </c>
    </row>
    <row r="325" spans="2:6">
      <c r="B325" t="str">
        <f>IF(OR($A325="",B$2=""),"",SUMIFS('Sales Log'!$G$3:$G$2002,'Sales Log'!$A$3:$A$2002,$A325,'Sales Log'!$B$3:$B$2002,B$2))</f>
        <v/>
      </c>
      <c r="C325" t="str">
        <f>IF(OR($A325="",C$2=""),"",SUMIFS('Sales Log'!$G$3:$G$2002,'Sales Log'!$A$3:$A$2002,$A325,'Sales Log'!$B$3:$B$2002,C$2))</f>
        <v/>
      </c>
      <c r="D325" t="str">
        <f>IF(OR($A325="",D$2=""),"",SUMIFS('Sales Log'!$G$3:$G$2002,'Sales Log'!$A$3:$A$2002,$A325,'Sales Log'!$B$3:$B$2002,D$2))</f>
        <v/>
      </c>
      <c r="E325" t="str">
        <f>IF(OR($A325="",E$2=""),"",SUMIFS('Sales Log'!$G$3:$G$2002,'Sales Log'!$A$3:$A$2002,$A325,'Sales Log'!$B$3:$B$2002,E$2))</f>
        <v/>
      </c>
      <c r="F325" t="str">
        <f t="shared" si="5"/>
        <v/>
      </c>
    </row>
    <row r="326" spans="2:6">
      <c r="B326" t="str">
        <f>IF(OR($A326="",B$2=""),"",SUMIFS('Sales Log'!$G$3:$G$2002,'Sales Log'!$A$3:$A$2002,$A326,'Sales Log'!$B$3:$B$2002,B$2))</f>
        <v/>
      </c>
      <c r="C326" t="str">
        <f>IF(OR($A326="",C$2=""),"",SUMIFS('Sales Log'!$G$3:$G$2002,'Sales Log'!$A$3:$A$2002,$A326,'Sales Log'!$B$3:$B$2002,C$2))</f>
        <v/>
      </c>
      <c r="D326" t="str">
        <f>IF(OR($A326="",D$2=""),"",SUMIFS('Sales Log'!$G$3:$G$2002,'Sales Log'!$A$3:$A$2002,$A326,'Sales Log'!$B$3:$B$2002,D$2))</f>
        <v/>
      </c>
      <c r="E326" t="str">
        <f>IF(OR($A326="",E$2=""),"",SUMIFS('Sales Log'!$G$3:$G$2002,'Sales Log'!$A$3:$A$2002,$A326,'Sales Log'!$B$3:$B$2002,E$2))</f>
        <v/>
      </c>
      <c r="F326" t="str">
        <f t="shared" si="5"/>
        <v/>
      </c>
    </row>
    <row r="327" spans="2:6">
      <c r="B327" t="str">
        <f>IF(OR($A327="",B$2=""),"",SUMIFS('Sales Log'!$G$3:$G$2002,'Sales Log'!$A$3:$A$2002,$A327,'Sales Log'!$B$3:$B$2002,B$2))</f>
        <v/>
      </c>
      <c r="C327" t="str">
        <f>IF(OR($A327="",C$2=""),"",SUMIFS('Sales Log'!$G$3:$G$2002,'Sales Log'!$A$3:$A$2002,$A327,'Sales Log'!$B$3:$B$2002,C$2))</f>
        <v/>
      </c>
      <c r="D327" t="str">
        <f>IF(OR($A327="",D$2=""),"",SUMIFS('Sales Log'!$G$3:$G$2002,'Sales Log'!$A$3:$A$2002,$A327,'Sales Log'!$B$3:$B$2002,D$2))</f>
        <v/>
      </c>
      <c r="E327" t="str">
        <f>IF(OR($A327="",E$2=""),"",SUMIFS('Sales Log'!$G$3:$G$2002,'Sales Log'!$A$3:$A$2002,$A327,'Sales Log'!$B$3:$B$2002,E$2))</f>
        <v/>
      </c>
      <c r="F327" t="str">
        <f t="shared" si="5"/>
        <v/>
      </c>
    </row>
    <row r="328" spans="2:6">
      <c r="B328" t="str">
        <f>IF(OR($A328="",B$2=""),"",SUMIFS('Sales Log'!$G$3:$G$2002,'Sales Log'!$A$3:$A$2002,$A328,'Sales Log'!$B$3:$B$2002,B$2))</f>
        <v/>
      </c>
      <c r="C328" t="str">
        <f>IF(OR($A328="",C$2=""),"",SUMIFS('Sales Log'!$G$3:$G$2002,'Sales Log'!$A$3:$A$2002,$A328,'Sales Log'!$B$3:$B$2002,C$2))</f>
        <v/>
      </c>
      <c r="D328" t="str">
        <f>IF(OR($A328="",D$2=""),"",SUMIFS('Sales Log'!$G$3:$G$2002,'Sales Log'!$A$3:$A$2002,$A328,'Sales Log'!$B$3:$B$2002,D$2))</f>
        <v/>
      </c>
      <c r="E328" t="str">
        <f>IF(OR($A328="",E$2=""),"",SUMIFS('Sales Log'!$G$3:$G$2002,'Sales Log'!$A$3:$A$2002,$A328,'Sales Log'!$B$3:$B$2002,E$2))</f>
        <v/>
      </c>
      <c r="F328" t="str">
        <f t="shared" si="5"/>
        <v/>
      </c>
    </row>
    <row r="329" spans="2:6">
      <c r="B329" t="str">
        <f>IF(OR($A329="",B$2=""),"",SUMIFS('Sales Log'!$G$3:$G$2002,'Sales Log'!$A$3:$A$2002,$A329,'Sales Log'!$B$3:$B$2002,B$2))</f>
        <v/>
      </c>
      <c r="C329" t="str">
        <f>IF(OR($A329="",C$2=""),"",SUMIFS('Sales Log'!$G$3:$G$2002,'Sales Log'!$A$3:$A$2002,$A329,'Sales Log'!$B$3:$B$2002,C$2))</f>
        <v/>
      </c>
      <c r="D329" t="str">
        <f>IF(OR($A329="",D$2=""),"",SUMIFS('Sales Log'!$G$3:$G$2002,'Sales Log'!$A$3:$A$2002,$A329,'Sales Log'!$B$3:$B$2002,D$2))</f>
        <v/>
      </c>
      <c r="E329" t="str">
        <f>IF(OR($A329="",E$2=""),"",SUMIFS('Sales Log'!$G$3:$G$2002,'Sales Log'!$A$3:$A$2002,$A329,'Sales Log'!$B$3:$B$2002,E$2))</f>
        <v/>
      </c>
      <c r="F329" t="str">
        <f t="shared" si="5"/>
        <v/>
      </c>
    </row>
    <row r="330" spans="2:6">
      <c r="B330" t="str">
        <f>IF(OR($A330="",B$2=""),"",SUMIFS('Sales Log'!$G$3:$G$2002,'Sales Log'!$A$3:$A$2002,$A330,'Sales Log'!$B$3:$B$2002,B$2))</f>
        <v/>
      </c>
      <c r="C330" t="str">
        <f>IF(OR($A330="",C$2=""),"",SUMIFS('Sales Log'!$G$3:$G$2002,'Sales Log'!$A$3:$A$2002,$A330,'Sales Log'!$B$3:$B$2002,C$2))</f>
        <v/>
      </c>
      <c r="D330" t="str">
        <f>IF(OR($A330="",D$2=""),"",SUMIFS('Sales Log'!$G$3:$G$2002,'Sales Log'!$A$3:$A$2002,$A330,'Sales Log'!$B$3:$B$2002,D$2))</f>
        <v/>
      </c>
      <c r="E330" t="str">
        <f>IF(OR($A330="",E$2=""),"",SUMIFS('Sales Log'!$G$3:$G$2002,'Sales Log'!$A$3:$A$2002,$A330,'Sales Log'!$B$3:$B$2002,E$2))</f>
        <v/>
      </c>
      <c r="F330" t="str">
        <f t="shared" si="5"/>
        <v/>
      </c>
    </row>
    <row r="331" spans="2:6">
      <c r="B331" t="str">
        <f>IF(OR($A331="",B$2=""),"",SUMIFS('Sales Log'!$G$3:$G$2002,'Sales Log'!$A$3:$A$2002,$A331,'Sales Log'!$B$3:$B$2002,B$2))</f>
        <v/>
      </c>
      <c r="C331" t="str">
        <f>IF(OR($A331="",C$2=""),"",SUMIFS('Sales Log'!$G$3:$G$2002,'Sales Log'!$A$3:$A$2002,$A331,'Sales Log'!$B$3:$B$2002,C$2))</f>
        <v/>
      </c>
      <c r="D331" t="str">
        <f>IF(OR($A331="",D$2=""),"",SUMIFS('Sales Log'!$G$3:$G$2002,'Sales Log'!$A$3:$A$2002,$A331,'Sales Log'!$B$3:$B$2002,D$2))</f>
        <v/>
      </c>
      <c r="E331" t="str">
        <f>IF(OR($A331="",E$2=""),"",SUMIFS('Sales Log'!$G$3:$G$2002,'Sales Log'!$A$3:$A$2002,$A331,'Sales Log'!$B$3:$B$2002,E$2))</f>
        <v/>
      </c>
      <c r="F331" t="str">
        <f t="shared" si="5"/>
        <v/>
      </c>
    </row>
    <row r="332" spans="2:6">
      <c r="B332" t="str">
        <f>IF(OR($A332="",B$2=""),"",SUMIFS('Sales Log'!$G$3:$G$2002,'Sales Log'!$A$3:$A$2002,$A332,'Sales Log'!$B$3:$B$2002,B$2))</f>
        <v/>
      </c>
      <c r="C332" t="str">
        <f>IF(OR($A332="",C$2=""),"",SUMIFS('Sales Log'!$G$3:$G$2002,'Sales Log'!$A$3:$A$2002,$A332,'Sales Log'!$B$3:$B$2002,C$2))</f>
        <v/>
      </c>
      <c r="D332" t="str">
        <f>IF(OR($A332="",D$2=""),"",SUMIFS('Sales Log'!$G$3:$G$2002,'Sales Log'!$A$3:$A$2002,$A332,'Sales Log'!$B$3:$B$2002,D$2))</f>
        <v/>
      </c>
      <c r="E332" t="str">
        <f>IF(OR($A332="",E$2=""),"",SUMIFS('Sales Log'!$G$3:$G$2002,'Sales Log'!$A$3:$A$2002,$A332,'Sales Log'!$B$3:$B$2002,E$2))</f>
        <v/>
      </c>
      <c r="F332" t="str">
        <f t="shared" si="5"/>
        <v/>
      </c>
    </row>
    <row r="333" spans="2:6">
      <c r="B333" t="str">
        <f>IF(OR($A333="",B$2=""),"",SUMIFS('Sales Log'!$G$3:$G$2002,'Sales Log'!$A$3:$A$2002,$A333,'Sales Log'!$B$3:$B$2002,B$2))</f>
        <v/>
      </c>
      <c r="C333" t="str">
        <f>IF(OR($A333="",C$2=""),"",SUMIFS('Sales Log'!$G$3:$G$2002,'Sales Log'!$A$3:$A$2002,$A333,'Sales Log'!$B$3:$B$2002,C$2))</f>
        <v/>
      </c>
      <c r="D333" t="str">
        <f>IF(OR($A333="",D$2=""),"",SUMIFS('Sales Log'!$G$3:$G$2002,'Sales Log'!$A$3:$A$2002,$A333,'Sales Log'!$B$3:$B$2002,D$2))</f>
        <v/>
      </c>
      <c r="E333" t="str">
        <f>IF(OR($A333="",E$2=""),"",SUMIFS('Sales Log'!$G$3:$G$2002,'Sales Log'!$A$3:$A$2002,$A333,'Sales Log'!$B$3:$B$2002,E$2))</f>
        <v/>
      </c>
      <c r="F333" t="str">
        <f t="shared" si="5"/>
        <v/>
      </c>
    </row>
    <row r="334" spans="2:6">
      <c r="B334" t="str">
        <f>IF(OR($A334="",B$2=""),"",SUMIFS('Sales Log'!$G$3:$G$2002,'Sales Log'!$A$3:$A$2002,$A334,'Sales Log'!$B$3:$B$2002,B$2))</f>
        <v/>
      </c>
      <c r="C334" t="str">
        <f>IF(OR($A334="",C$2=""),"",SUMIFS('Sales Log'!$G$3:$G$2002,'Sales Log'!$A$3:$A$2002,$A334,'Sales Log'!$B$3:$B$2002,C$2))</f>
        <v/>
      </c>
      <c r="D334" t="str">
        <f>IF(OR($A334="",D$2=""),"",SUMIFS('Sales Log'!$G$3:$G$2002,'Sales Log'!$A$3:$A$2002,$A334,'Sales Log'!$B$3:$B$2002,D$2))</f>
        <v/>
      </c>
      <c r="E334" t="str">
        <f>IF(OR($A334="",E$2=""),"",SUMIFS('Sales Log'!$G$3:$G$2002,'Sales Log'!$A$3:$A$2002,$A334,'Sales Log'!$B$3:$B$2002,E$2))</f>
        <v/>
      </c>
      <c r="F334" t="str">
        <f t="shared" si="5"/>
        <v/>
      </c>
    </row>
    <row r="335" spans="2:6">
      <c r="B335" t="str">
        <f>IF(OR($A335="",B$2=""),"",SUMIFS('Sales Log'!$G$3:$G$2002,'Sales Log'!$A$3:$A$2002,$A335,'Sales Log'!$B$3:$B$2002,B$2))</f>
        <v/>
      </c>
      <c r="C335" t="str">
        <f>IF(OR($A335="",C$2=""),"",SUMIFS('Sales Log'!$G$3:$G$2002,'Sales Log'!$A$3:$A$2002,$A335,'Sales Log'!$B$3:$B$2002,C$2))</f>
        <v/>
      </c>
      <c r="D335" t="str">
        <f>IF(OR($A335="",D$2=""),"",SUMIFS('Sales Log'!$G$3:$G$2002,'Sales Log'!$A$3:$A$2002,$A335,'Sales Log'!$B$3:$B$2002,D$2))</f>
        <v/>
      </c>
      <c r="E335" t="str">
        <f>IF(OR($A335="",E$2=""),"",SUMIFS('Sales Log'!$G$3:$G$2002,'Sales Log'!$A$3:$A$2002,$A335,'Sales Log'!$B$3:$B$2002,E$2))</f>
        <v/>
      </c>
      <c r="F335" t="str">
        <f t="shared" si="5"/>
        <v/>
      </c>
    </row>
    <row r="336" spans="2:6">
      <c r="B336" t="str">
        <f>IF(OR($A336="",B$2=""),"",SUMIFS('Sales Log'!$G$3:$G$2002,'Sales Log'!$A$3:$A$2002,$A336,'Sales Log'!$B$3:$B$2002,B$2))</f>
        <v/>
      </c>
      <c r="C336" t="str">
        <f>IF(OR($A336="",C$2=""),"",SUMIFS('Sales Log'!$G$3:$G$2002,'Sales Log'!$A$3:$A$2002,$A336,'Sales Log'!$B$3:$B$2002,C$2))</f>
        <v/>
      </c>
      <c r="D336" t="str">
        <f>IF(OR($A336="",D$2=""),"",SUMIFS('Sales Log'!$G$3:$G$2002,'Sales Log'!$A$3:$A$2002,$A336,'Sales Log'!$B$3:$B$2002,D$2))</f>
        <v/>
      </c>
      <c r="E336" t="str">
        <f>IF(OR($A336="",E$2=""),"",SUMIFS('Sales Log'!$G$3:$G$2002,'Sales Log'!$A$3:$A$2002,$A336,'Sales Log'!$B$3:$B$2002,E$2))</f>
        <v/>
      </c>
      <c r="F336" t="str">
        <f t="shared" si="5"/>
        <v/>
      </c>
    </row>
    <row r="337" spans="2:6">
      <c r="B337" t="str">
        <f>IF(OR($A337="",B$2=""),"",SUMIFS('Sales Log'!$G$3:$G$2002,'Sales Log'!$A$3:$A$2002,$A337,'Sales Log'!$B$3:$B$2002,B$2))</f>
        <v/>
      </c>
      <c r="C337" t="str">
        <f>IF(OR($A337="",C$2=""),"",SUMIFS('Sales Log'!$G$3:$G$2002,'Sales Log'!$A$3:$A$2002,$A337,'Sales Log'!$B$3:$B$2002,C$2))</f>
        <v/>
      </c>
      <c r="D337" t="str">
        <f>IF(OR($A337="",D$2=""),"",SUMIFS('Sales Log'!$G$3:$G$2002,'Sales Log'!$A$3:$A$2002,$A337,'Sales Log'!$B$3:$B$2002,D$2))</f>
        <v/>
      </c>
      <c r="E337" t="str">
        <f>IF(OR($A337="",E$2=""),"",SUMIFS('Sales Log'!$G$3:$G$2002,'Sales Log'!$A$3:$A$2002,$A337,'Sales Log'!$B$3:$B$2002,E$2))</f>
        <v/>
      </c>
      <c r="F337" t="str">
        <f t="shared" si="5"/>
        <v/>
      </c>
    </row>
    <row r="338" spans="2:6">
      <c r="B338" t="str">
        <f>IF(OR($A338="",B$2=""),"",SUMIFS('Sales Log'!$G$3:$G$2002,'Sales Log'!$A$3:$A$2002,$A338,'Sales Log'!$B$3:$B$2002,B$2))</f>
        <v/>
      </c>
      <c r="C338" t="str">
        <f>IF(OR($A338="",C$2=""),"",SUMIFS('Sales Log'!$G$3:$G$2002,'Sales Log'!$A$3:$A$2002,$A338,'Sales Log'!$B$3:$B$2002,C$2))</f>
        <v/>
      </c>
      <c r="D338" t="str">
        <f>IF(OR($A338="",D$2=""),"",SUMIFS('Sales Log'!$G$3:$G$2002,'Sales Log'!$A$3:$A$2002,$A338,'Sales Log'!$B$3:$B$2002,D$2))</f>
        <v/>
      </c>
      <c r="E338" t="str">
        <f>IF(OR($A338="",E$2=""),"",SUMIFS('Sales Log'!$G$3:$G$2002,'Sales Log'!$A$3:$A$2002,$A338,'Sales Log'!$B$3:$B$2002,E$2))</f>
        <v/>
      </c>
      <c r="F338" t="str">
        <f t="shared" si="5"/>
        <v/>
      </c>
    </row>
    <row r="339" spans="2:6">
      <c r="B339" t="str">
        <f>IF(OR($A339="",B$2=""),"",SUMIFS('Sales Log'!$G$3:$G$2002,'Sales Log'!$A$3:$A$2002,$A339,'Sales Log'!$B$3:$B$2002,B$2))</f>
        <v/>
      </c>
      <c r="C339" t="str">
        <f>IF(OR($A339="",C$2=""),"",SUMIFS('Sales Log'!$G$3:$G$2002,'Sales Log'!$A$3:$A$2002,$A339,'Sales Log'!$B$3:$B$2002,C$2))</f>
        <v/>
      </c>
      <c r="D339" t="str">
        <f>IF(OR($A339="",D$2=""),"",SUMIFS('Sales Log'!$G$3:$G$2002,'Sales Log'!$A$3:$A$2002,$A339,'Sales Log'!$B$3:$B$2002,D$2))</f>
        <v/>
      </c>
      <c r="E339" t="str">
        <f>IF(OR($A339="",E$2=""),"",SUMIFS('Sales Log'!$G$3:$G$2002,'Sales Log'!$A$3:$A$2002,$A339,'Sales Log'!$B$3:$B$2002,E$2))</f>
        <v/>
      </c>
      <c r="F339" t="str">
        <f t="shared" si="5"/>
        <v/>
      </c>
    </row>
    <row r="340" spans="2:6">
      <c r="B340" t="str">
        <f>IF(OR($A340="",B$2=""),"",SUMIFS('Sales Log'!$G$3:$G$2002,'Sales Log'!$A$3:$A$2002,$A340,'Sales Log'!$B$3:$B$2002,B$2))</f>
        <v/>
      </c>
      <c r="C340" t="str">
        <f>IF(OR($A340="",C$2=""),"",SUMIFS('Sales Log'!$G$3:$G$2002,'Sales Log'!$A$3:$A$2002,$A340,'Sales Log'!$B$3:$B$2002,C$2))</f>
        <v/>
      </c>
      <c r="D340" t="str">
        <f>IF(OR($A340="",D$2=""),"",SUMIFS('Sales Log'!$G$3:$G$2002,'Sales Log'!$A$3:$A$2002,$A340,'Sales Log'!$B$3:$B$2002,D$2))</f>
        <v/>
      </c>
      <c r="E340" t="str">
        <f>IF(OR($A340="",E$2=""),"",SUMIFS('Sales Log'!$G$3:$G$2002,'Sales Log'!$A$3:$A$2002,$A340,'Sales Log'!$B$3:$B$2002,E$2))</f>
        <v/>
      </c>
      <c r="F340" t="str">
        <f t="shared" si="5"/>
        <v/>
      </c>
    </row>
    <row r="341" spans="2:6">
      <c r="B341" t="str">
        <f>IF(OR($A341="",B$2=""),"",SUMIFS('Sales Log'!$G$3:$G$2002,'Sales Log'!$A$3:$A$2002,$A341,'Sales Log'!$B$3:$B$2002,B$2))</f>
        <v/>
      </c>
      <c r="C341" t="str">
        <f>IF(OR($A341="",C$2=""),"",SUMIFS('Sales Log'!$G$3:$G$2002,'Sales Log'!$A$3:$A$2002,$A341,'Sales Log'!$B$3:$B$2002,C$2))</f>
        <v/>
      </c>
      <c r="D341" t="str">
        <f>IF(OR($A341="",D$2=""),"",SUMIFS('Sales Log'!$G$3:$G$2002,'Sales Log'!$A$3:$A$2002,$A341,'Sales Log'!$B$3:$B$2002,D$2))</f>
        <v/>
      </c>
      <c r="E341" t="str">
        <f>IF(OR($A341="",E$2=""),"",SUMIFS('Sales Log'!$G$3:$G$2002,'Sales Log'!$A$3:$A$2002,$A341,'Sales Log'!$B$3:$B$2002,E$2))</f>
        <v/>
      </c>
      <c r="F341" t="str">
        <f t="shared" si="5"/>
        <v/>
      </c>
    </row>
    <row r="342" spans="2:6">
      <c r="B342" t="str">
        <f>IF(OR($A342="",B$2=""),"",SUMIFS('Sales Log'!$G$3:$G$2002,'Sales Log'!$A$3:$A$2002,$A342,'Sales Log'!$B$3:$B$2002,B$2))</f>
        <v/>
      </c>
      <c r="C342" t="str">
        <f>IF(OR($A342="",C$2=""),"",SUMIFS('Sales Log'!$G$3:$G$2002,'Sales Log'!$A$3:$A$2002,$A342,'Sales Log'!$B$3:$B$2002,C$2))</f>
        <v/>
      </c>
      <c r="D342" t="str">
        <f>IF(OR($A342="",D$2=""),"",SUMIFS('Sales Log'!$G$3:$G$2002,'Sales Log'!$A$3:$A$2002,$A342,'Sales Log'!$B$3:$B$2002,D$2))</f>
        <v/>
      </c>
      <c r="E342" t="str">
        <f>IF(OR($A342="",E$2=""),"",SUMIFS('Sales Log'!$G$3:$G$2002,'Sales Log'!$A$3:$A$2002,$A342,'Sales Log'!$B$3:$B$2002,E$2))</f>
        <v/>
      </c>
      <c r="F342" t="str">
        <f t="shared" si="5"/>
        <v/>
      </c>
    </row>
    <row r="343" spans="2:6">
      <c r="B343" t="str">
        <f>IF(OR($A343="",B$2=""),"",SUMIFS('Sales Log'!$G$3:$G$2002,'Sales Log'!$A$3:$A$2002,$A343,'Sales Log'!$B$3:$B$2002,B$2))</f>
        <v/>
      </c>
      <c r="C343" t="str">
        <f>IF(OR($A343="",C$2=""),"",SUMIFS('Sales Log'!$G$3:$G$2002,'Sales Log'!$A$3:$A$2002,$A343,'Sales Log'!$B$3:$B$2002,C$2))</f>
        <v/>
      </c>
      <c r="D343" t="str">
        <f>IF(OR($A343="",D$2=""),"",SUMIFS('Sales Log'!$G$3:$G$2002,'Sales Log'!$A$3:$A$2002,$A343,'Sales Log'!$B$3:$B$2002,D$2))</f>
        <v/>
      </c>
      <c r="E343" t="str">
        <f>IF(OR($A343="",E$2=""),"",SUMIFS('Sales Log'!$G$3:$G$2002,'Sales Log'!$A$3:$A$2002,$A343,'Sales Log'!$B$3:$B$2002,E$2))</f>
        <v/>
      </c>
      <c r="F343" t="str">
        <f t="shared" si="5"/>
        <v/>
      </c>
    </row>
    <row r="344" spans="2:6">
      <c r="B344" t="str">
        <f>IF(OR($A344="",B$2=""),"",SUMIFS('Sales Log'!$G$3:$G$2002,'Sales Log'!$A$3:$A$2002,$A344,'Sales Log'!$B$3:$B$2002,B$2))</f>
        <v/>
      </c>
      <c r="C344" t="str">
        <f>IF(OR($A344="",C$2=""),"",SUMIFS('Sales Log'!$G$3:$G$2002,'Sales Log'!$A$3:$A$2002,$A344,'Sales Log'!$B$3:$B$2002,C$2))</f>
        <v/>
      </c>
      <c r="D344" t="str">
        <f>IF(OR($A344="",D$2=""),"",SUMIFS('Sales Log'!$G$3:$G$2002,'Sales Log'!$A$3:$A$2002,$A344,'Sales Log'!$B$3:$B$2002,D$2))</f>
        <v/>
      </c>
      <c r="E344" t="str">
        <f>IF(OR($A344="",E$2=""),"",SUMIFS('Sales Log'!$G$3:$G$2002,'Sales Log'!$A$3:$A$2002,$A344,'Sales Log'!$B$3:$B$2002,E$2))</f>
        <v/>
      </c>
      <c r="F344" t="str">
        <f t="shared" si="5"/>
        <v/>
      </c>
    </row>
    <row r="345" spans="2:6">
      <c r="B345" t="str">
        <f>IF(OR($A345="",B$2=""),"",SUMIFS('Sales Log'!$G$3:$G$2002,'Sales Log'!$A$3:$A$2002,$A345,'Sales Log'!$B$3:$B$2002,B$2))</f>
        <v/>
      </c>
      <c r="C345" t="str">
        <f>IF(OR($A345="",C$2=""),"",SUMIFS('Sales Log'!$G$3:$G$2002,'Sales Log'!$A$3:$A$2002,$A345,'Sales Log'!$B$3:$B$2002,C$2))</f>
        <v/>
      </c>
      <c r="D345" t="str">
        <f>IF(OR($A345="",D$2=""),"",SUMIFS('Sales Log'!$G$3:$G$2002,'Sales Log'!$A$3:$A$2002,$A345,'Sales Log'!$B$3:$B$2002,D$2))</f>
        <v/>
      </c>
      <c r="E345" t="str">
        <f>IF(OR($A345="",E$2=""),"",SUMIFS('Sales Log'!$G$3:$G$2002,'Sales Log'!$A$3:$A$2002,$A345,'Sales Log'!$B$3:$B$2002,E$2))</f>
        <v/>
      </c>
      <c r="F345" t="str">
        <f t="shared" si="5"/>
        <v/>
      </c>
    </row>
    <row r="346" spans="2:6">
      <c r="B346" t="str">
        <f>IF(OR($A346="",B$2=""),"",SUMIFS('Sales Log'!$G$3:$G$2002,'Sales Log'!$A$3:$A$2002,$A346,'Sales Log'!$B$3:$B$2002,B$2))</f>
        <v/>
      </c>
      <c r="C346" t="str">
        <f>IF(OR($A346="",C$2=""),"",SUMIFS('Sales Log'!$G$3:$G$2002,'Sales Log'!$A$3:$A$2002,$A346,'Sales Log'!$B$3:$B$2002,C$2))</f>
        <v/>
      </c>
      <c r="D346" t="str">
        <f>IF(OR($A346="",D$2=""),"",SUMIFS('Sales Log'!$G$3:$G$2002,'Sales Log'!$A$3:$A$2002,$A346,'Sales Log'!$B$3:$B$2002,D$2))</f>
        <v/>
      </c>
      <c r="E346" t="str">
        <f>IF(OR($A346="",E$2=""),"",SUMIFS('Sales Log'!$G$3:$G$2002,'Sales Log'!$A$3:$A$2002,$A346,'Sales Log'!$B$3:$B$2002,E$2))</f>
        <v/>
      </c>
      <c r="F346" t="str">
        <f t="shared" si="5"/>
        <v/>
      </c>
    </row>
    <row r="347" spans="2:6">
      <c r="B347" t="str">
        <f>IF(OR($A347="",B$2=""),"",SUMIFS('Sales Log'!$G$3:$G$2002,'Sales Log'!$A$3:$A$2002,$A347,'Sales Log'!$B$3:$B$2002,B$2))</f>
        <v/>
      </c>
      <c r="C347" t="str">
        <f>IF(OR($A347="",C$2=""),"",SUMIFS('Sales Log'!$G$3:$G$2002,'Sales Log'!$A$3:$A$2002,$A347,'Sales Log'!$B$3:$B$2002,C$2))</f>
        <v/>
      </c>
      <c r="D347" t="str">
        <f>IF(OR($A347="",D$2=""),"",SUMIFS('Sales Log'!$G$3:$G$2002,'Sales Log'!$A$3:$A$2002,$A347,'Sales Log'!$B$3:$B$2002,D$2))</f>
        <v/>
      </c>
      <c r="E347" t="str">
        <f>IF(OR($A347="",E$2=""),"",SUMIFS('Sales Log'!$G$3:$G$2002,'Sales Log'!$A$3:$A$2002,$A347,'Sales Log'!$B$3:$B$2002,E$2))</f>
        <v/>
      </c>
      <c r="F347" t="str">
        <f t="shared" si="5"/>
        <v/>
      </c>
    </row>
    <row r="348" spans="2:6">
      <c r="B348" t="str">
        <f>IF(OR($A348="",B$2=""),"",SUMIFS('Sales Log'!$G$3:$G$2002,'Sales Log'!$A$3:$A$2002,$A348,'Sales Log'!$B$3:$B$2002,B$2))</f>
        <v/>
      </c>
      <c r="C348" t="str">
        <f>IF(OR($A348="",C$2=""),"",SUMIFS('Sales Log'!$G$3:$G$2002,'Sales Log'!$A$3:$A$2002,$A348,'Sales Log'!$B$3:$B$2002,C$2))</f>
        <v/>
      </c>
      <c r="D348" t="str">
        <f>IF(OR($A348="",D$2=""),"",SUMIFS('Sales Log'!$G$3:$G$2002,'Sales Log'!$A$3:$A$2002,$A348,'Sales Log'!$B$3:$B$2002,D$2))</f>
        <v/>
      </c>
      <c r="E348" t="str">
        <f>IF(OR($A348="",E$2=""),"",SUMIFS('Sales Log'!$G$3:$G$2002,'Sales Log'!$A$3:$A$2002,$A348,'Sales Log'!$B$3:$B$2002,E$2))</f>
        <v/>
      </c>
      <c r="F348" t="str">
        <f t="shared" si="5"/>
        <v/>
      </c>
    </row>
    <row r="349" spans="2:6">
      <c r="B349" t="str">
        <f>IF(OR($A349="",B$2=""),"",SUMIFS('Sales Log'!$G$3:$G$2002,'Sales Log'!$A$3:$A$2002,$A349,'Sales Log'!$B$3:$B$2002,B$2))</f>
        <v/>
      </c>
      <c r="C349" t="str">
        <f>IF(OR($A349="",C$2=""),"",SUMIFS('Sales Log'!$G$3:$G$2002,'Sales Log'!$A$3:$A$2002,$A349,'Sales Log'!$B$3:$B$2002,C$2))</f>
        <v/>
      </c>
      <c r="D349" t="str">
        <f>IF(OR($A349="",D$2=""),"",SUMIFS('Sales Log'!$G$3:$G$2002,'Sales Log'!$A$3:$A$2002,$A349,'Sales Log'!$B$3:$B$2002,D$2))</f>
        <v/>
      </c>
      <c r="E349" t="str">
        <f>IF(OR($A349="",E$2=""),"",SUMIFS('Sales Log'!$G$3:$G$2002,'Sales Log'!$A$3:$A$2002,$A349,'Sales Log'!$B$3:$B$2002,E$2))</f>
        <v/>
      </c>
      <c r="F349" t="str">
        <f t="shared" si="5"/>
        <v/>
      </c>
    </row>
    <row r="350" spans="2:6">
      <c r="B350" t="str">
        <f>IF(OR($A350="",B$2=""),"",SUMIFS('Sales Log'!$G$3:$G$2002,'Sales Log'!$A$3:$A$2002,$A350,'Sales Log'!$B$3:$B$2002,B$2))</f>
        <v/>
      </c>
      <c r="C350" t="str">
        <f>IF(OR($A350="",C$2=""),"",SUMIFS('Sales Log'!$G$3:$G$2002,'Sales Log'!$A$3:$A$2002,$A350,'Sales Log'!$B$3:$B$2002,C$2))</f>
        <v/>
      </c>
      <c r="D350" t="str">
        <f>IF(OR($A350="",D$2=""),"",SUMIFS('Sales Log'!$G$3:$G$2002,'Sales Log'!$A$3:$A$2002,$A350,'Sales Log'!$B$3:$B$2002,D$2))</f>
        <v/>
      </c>
      <c r="E350" t="str">
        <f>IF(OR($A350="",E$2=""),"",SUMIFS('Sales Log'!$G$3:$G$2002,'Sales Log'!$A$3:$A$2002,$A350,'Sales Log'!$B$3:$B$2002,E$2))</f>
        <v/>
      </c>
      <c r="F350" t="str">
        <f t="shared" si="5"/>
        <v/>
      </c>
    </row>
    <row r="351" spans="2:6">
      <c r="B351" t="str">
        <f>IF(OR($A351="",B$2=""),"",SUMIFS('Sales Log'!$G$3:$G$2002,'Sales Log'!$A$3:$A$2002,$A351,'Sales Log'!$B$3:$B$2002,B$2))</f>
        <v/>
      </c>
      <c r="C351" t="str">
        <f>IF(OR($A351="",C$2=""),"",SUMIFS('Sales Log'!$G$3:$G$2002,'Sales Log'!$A$3:$A$2002,$A351,'Sales Log'!$B$3:$B$2002,C$2))</f>
        <v/>
      </c>
      <c r="D351" t="str">
        <f>IF(OR($A351="",D$2=""),"",SUMIFS('Sales Log'!$G$3:$G$2002,'Sales Log'!$A$3:$A$2002,$A351,'Sales Log'!$B$3:$B$2002,D$2))</f>
        <v/>
      </c>
      <c r="E351" t="str">
        <f>IF(OR($A351="",E$2=""),"",SUMIFS('Sales Log'!$G$3:$G$2002,'Sales Log'!$A$3:$A$2002,$A351,'Sales Log'!$B$3:$B$2002,E$2))</f>
        <v/>
      </c>
      <c r="F351" t="str">
        <f t="shared" si="5"/>
        <v/>
      </c>
    </row>
    <row r="352" spans="2:6">
      <c r="B352" t="str">
        <f>IF(OR($A352="",B$2=""),"",SUMIFS('Sales Log'!$G$3:$G$2002,'Sales Log'!$A$3:$A$2002,$A352,'Sales Log'!$B$3:$B$2002,B$2))</f>
        <v/>
      </c>
      <c r="C352" t="str">
        <f>IF(OR($A352="",C$2=""),"",SUMIFS('Sales Log'!$G$3:$G$2002,'Sales Log'!$A$3:$A$2002,$A352,'Sales Log'!$B$3:$B$2002,C$2))</f>
        <v/>
      </c>
      <c r="D352" t="str">
        <f>IF(OR($A352="",D$2=""),"",SUMIFS('Sales Log'!$G$3:$G$2002,'Sales Log'!$A$3:$A$2002,$A352,'Sales Log'!$B$3:$B$2002,D$2))</f>
        <v/>
      </c>
      <c r="E352" t="str">
        <f>IF(OR($A352="",E$2=""),"",SUMIFS('Sales Log'!$G$3:$G$2002,'Sales Log'!$A$3:$A$2002,$A352,'Sales Log'!$B$3:$B$2002,E$2))</f>
        <v/>
      </c>
      <c r="F352" t="str">
        <f t="shared" si="5"/>
        <v/>
      </c>
    </row>
    <row r="353" spans="2:6">
      <c r="B353" t="str">
        <f>IF(OR($A353="",B$2=""),"",SUMIFS('Sales Log'!$G$3:$G$2002,'Sales Log'!$A$3:$A$2002,$A353,'Sales Log'!$B$3:$B$2002,B$2))</f>
        <v/>
      </c>
      <c r="C353" t="str">
        <f>IF(OR($A353="",C$2=""),"",SUMIFS('Sales Log'!$G$3:$G$2002,'Sales Log'!$A$3:$A$2002,$A353,'Sales Log'!$B$3:$B$2002,C$2))</f>
        <v/>
      </c>
      <c r="D353" t="str">
        <f>IF(OR($A353="",D$2=""),"",SUMIFS('Sales Log'!$G$3:$G$2002,'Sales Log'!$A$3:$A$2002,$A353,'Sales Log'!$B$3:$B$2002,D$2))</f>
        <v/>
      </c>
      <c r="E353" t="str">
        <f>IF(OR($A353="",E$2=""),"",SUMIFS('Sales Log'!$G$3:$G$2002,'Sales Log'!$A$3:$A$2002,$A353,'Sales Log'!$B$3:$B$2002,E$2))</f>
        <v/>
      </c>
      <c r="F353" t="str">
        <f t="shared" si="5"/>
        <v/>
      </c>
    </row>
    <row r="354" spans="2:6">
      <c r="B354" t="str">
        <f>IF(OR($A354="",B$2=""),"",SUMIFS('Sales Log'!$G$3:$G$2002,'Sales Log'!$A$3:$A$2002,$A354,'Sales Log'!$B$3:$B$2002,B$2))</f>
        <v/>
      </c>
      <c r="C354" t="str">
        <f>IF(OR($A354="",C$2=""),"",SUMIFS('Sales Log'!$G$3:$G$2002,'Sales Log'!$A$3:$A$2002,$A354,'Sales Log'!$B$3:$B$2002,C$2))</f>
        <v/>
      </c>
      <c r="D354" t="str">
        <f>IF(OR($A354="",D$2=""),"",SUMIFS('Sales Log'!$G$3:$G$2002,'Sales Log'!$A$3:$A$2002,$A354,'Sales Log'!$B$3:$B$2002,D$2))</f>
        <v/>
      </c>
      <c r="E354" t="str">
        <f>IF(OR($A354="",E$2=""),"",SUMIFS('Sales Log'!$G$3:$G$2002,'Sales Log'!$A$3:$A$2002,$A354,'Sales Log'!$B$3:$B$2002,E$2))</f>
        <v/>
      </c>
      <c r="F354" t="str">
        <f t="shared" si="5"/>
        <v/>
      </c>
    </row>
    <row r="355" spans="2:6">
      <c r="B355" t="str">
        <f>IF(OR($A355="",B$2=""),"",SUMIFS('Sales Log'!$G$3:$G$2002,'Sales Log'!$A$3:$A$2002,$A355,'Sales Log'!$B$3:$B$2002,B$2))</f>
        <v/>
      </c>
      <c r="C355" t="str">
        <f>IF(OR($A355="",C$2=""),"",SUMIFS('Sales Log'!$G$3:$G$2002,'Sales Log'!$A$3:$A$2002,$A355,'Sales Log'!$B$3:$B$2002,C$2))</f>
        <v/>
      </c>
      <c r="D355" t="str">
        <f>IF(OR($A355="",D$2=""),"",SUMIFS('Sales Log'!$G$3:$G$2002,'Sales Log'!$A$3:$A$2002,$A355,'Sales Log'!$B$3:$B$2002,D$2))</f>
        <v/>
      </c>
      <c r="E355" t="str">
        <f>IF(OR($A355="",E$2=""),"",SUMIFS('Sales Log'!$G$3:$G$2002,'Sales Log'!$A$3:$A$2002,$A355,'Sales Log'!$B$3:$B$2002,E$2))</f>
        <v/>
      </c>
      <c r="F355" t="str">
        <f t="shared" si="5"/>
        <v/>
      </c>
    </row>
    <row r="356" spans="2:6">
      <c r="B356" t="str">
        <f>IF(OR($A356="",B$2=""),"",SUMIFS('Sales Log'!$G$3:$G$2002,'Sales Log'!$A$3:$A$2002,$A356,'Sales Log'!$B$3:$B$2002,B$2))</f>
        <v/>
      </c>
      <c r="C356" t="str">
        <f>IF(OR($A356="",C$2=""),"",SUMIFS('Sales Log'!$G$3:$G$2002,'Sales Log'!$A$3:$A$2002,$A356,'Sales Log'!$B$3:$B$2002,C$2))</f>
        <v/>
      </c>
      <c r="D356" t="str">
        <f>IF(OR($A356="",D$2=""),"",SUMIFS('Sales Log'!$G$3:$G$2002,'Sales Log'!$A$3:$A$2002,$A356,'Sales Log'!$B$3:$B$2002,D$2))</f>
        <v/>
      </c>
      <c r="E356" t="str">
        <f>IF(OR($A356="",E$2=""),"",SUMIFS('Sales Log'!$G$3:$G$2002,'Sales Log'!$A$3:$A$2002,$A356,'Sales Log'!$B$3:$B$2002,E$2))</f>
        <v/>
      </c>
      <c r="F356" t="str">
        <f t="shared" si="5"/>
        <v/>
      </c>
    </row>
    <row r="357" spans="2:6">
      <c r="B357" t="str">
        <f>IF(OR($A357="",B$2=""),"",SUMIFS('Sales Log'!$G$3:$G$2002,'Sales Log'!$A$3:$A$2002,$A357,'Sales Log'!$B$3:$B$2002,B$2))</f>
        <v/>
      </c>
      <c r="C357" t="str">
        <f>IF(OR($A357="",C$2=""),"",SUMIFS('Sales Log'!$G$3:$G$2002,'Sales Log'!$A$3:$A$2002,$A357,'Sales Log'!$B$3:$B$2002,C$2))</f>
        <v/>
      </c>
      <c r="D357" t="str">
        <f>IF(OR($A357="",D$2=""),"",SUMIFS('Sales Log'!$G$3:$G$2002,'Sales Log'!$A$3:$A$2002,$A357,'Sales Log'!$B$3:$B$2002,D$2))</f>
        <v/>
      </c>
      <c r="E357" t="str">
        <f>IF(OR($A357="",E$2=""),"",SUMIFS('Sales Log'!$G$3:$G$2002,'Sales Log'!$A$3:$A$2002,$A357,'Sales Log'!$B$3:$B$2002,E$2))</f>
        <v/>
      </c>
      <c r="F357" t="str">
        <f t="shared" si="5"/>
        <v/>
      </c>
    </row>
    <row r="358" spans="2:6">
      <c r="B358" t="str">
        <f>IF(OR($A358="",B$2=""),"",SUMIFS('Sales Log'!$G$3:$G$2002,'Sales Log'!$A$3:$A$2002,$A358,'Sales Log'!$B$3:$B$2002,B$2))</f>
        <v/>
      </c>
      <c r="C358" t="str">
        <f>IF(OR($A358="",C$2=""),"",SUMIFS('Sales Log'!$G$3:$G$2002,'Sales Log'!$A$3:$A$2002,$A358,'Sales Log'!$B$3:$B$2002,C$2))</f>
        <v/>
      </c>
      <c r="D358" t="str">
        <f>IF(OR($A358="",D$2=""),"",SUMIFS('Sales Log'!$G$3:$G$2002,'Sales Log'!$A$3:$A$2002,$A358,'Sales Log'!$B$3:$B$2002,D$2))</f>
        <v/>
      </c>
      <c r="E358" t="str">
        <f>IF(OR($A358="",E$2=""),"",SUMIFS('Sales Log'!$G$3:$G$2002,'Sales Log'!$A$3:$A$2002,$A358,'Sales Log'!$B$3:$B$2002,E$2))</f>
        <v/>
      </c>
      <c r="F358" t="str">
        <f t="shared" si="5"/>
        <v/>
      </c>
    </row>
    <row r="359" spans="2:6">
      <c r="B359" t="str">
        <f>IF(OR($A359="",B$2=""),"",SUMIFS('Sales Log'!$G$3:$G$2002,'Sales Log'!$A$3:$A$2002,$A359,'Sales Log'!$B$3:$B$2002,B$2))</f>
        <v/>
      </c>
      <c r="C359" t="str">
        <f>IF(OR($A359="",C$2=""),"",SUMIFS('Sales Log'!$G$3:$G$2002,'Sales Log'!$A$3:$A$2002,$A359,'Sales Log'!$B$3:$B$2002,C$2))</f>
        <v/>
      </c>
      <c r="D359" t="str">
        <f>IF(OR($A359="",D$2=""),"",SUMIFS('Sales Log'!$G$3:$G$2002,'Sales Log'!$A$3:$A$2002,$A359,'Sales Log'!$B$3:$B$2002,D$2))</f>
        <v/>
      </c>
      <c r="E359" t="str">
        <f>IF(OR($A359="",E$2=""),"",SUMIFS('Sales Log'!$G$3:$G$2002,'Sales Log'!$A$3:$A$2002,$A359,'Sales Log'!$B$3:$B$2002,E$2))</f>
        <v/>
      </c>
      <c r="F359" t="str">
        <f t="shared" si="5"/>
        <v/>
      </c>
    </row>
    <row r="360" spans="2:6">
      <c r="B360" t="str">
        <f>IF(OR($A360="",B$2=""),"",SUMIFS('Sales Log'!$G$3:$G$2002,'Sales Log'!$A$3:$A$2002,$A360,'Sales Log'!$B$3:$B$2002,B$2))</f>
        <v/>
      </c>
      <c r="C360" t="str">
        <f>IF(OR($A360="",C$2=""),"",SUMIFS('Sales Log'!$G$3:$G$2002,'Sales Log'!$A$3:$A$2002,$A360,'Sales Log'!$B$3:$B$2002,C$2))</f>
        <v/>
      </c>
      <c r="D360" t="str">
        <f>IF(OR($A360="",D$2=""),"",SUMIFS('Sales Log'!$G$3:$G$2002,'Sales Log'!$A$3:$A$2002,$A360,'Sales Log'!$B$3:$B$2002,D$2))</f>
        <v/>
      </c>
      <c r="E360" t="str">
        <f>IF(OR($A360="",E$2=""),"",SUMIFS('Sales Log'!$G$3:$G$2002,'Sales Log'!$A$3:$A$2002,$A360,'Sales Log'!$B$3:$B$2002,E$2))</f>
        <v/>
      </c>
      <c r="F360" t="str">
        <f t="shared" si="5"/>
        <v/>
      </c>
    </row>
    <row r="361" spans="2:6">
      <c r="B361" t="str">
        <f>IF(OR($A361="",B$2=""),"",SUMIFS('Sales Log'!$G$3:$G$2002,'Sales Log'!$A$3:$A$2002,$A361,'Sales Log'!$B$3:$B$2002,B$2))</f>
        <v/>
      </c>
      <c r="C361" t="str">
        <f>IF(OR($A361="",C$2=""),"",SUMIFS('Sales Log'!$G$3:$G$2002,'Sales Log'!$A$3:$A$2002,$A361,'Sales Log'!$B$3:$B$2002,C$2))</f>
        <v/>
      </c>
      <c r="D361" t="str">
        <f>IF(OR($A361="",D$2=""),"",SUMIFS('Sales Log'!$G$3:$G$2002,'Sales Log'!$A$3:$A$2002,$A361,'Sales Log'!$B$3:$B$2002,D$2))</f>
        <v/>
      </c>
      <c r="E361" t="str">
        <f>IF(OR($A361="",E$2=""),"",SUMIFS('Sales Log'!$G$3:$G$2002,'Sales Log'!$A$3:$A$2002,$A361,'Sales Log'!$B$3:$B$2002,E$2))</f>
        <v/>
      </c>
      <c r="F361" t="str">
        <f t="shared" si="5"/>
        <v/>
      </c>
    </row>
    <row r="362" spans="2:6">
      <c r="B362" t="str">
        <f>IF(OR($A362="",B$2=""),"",SUMIFS('Sales Log'!$G$3:$G$2002,'Sales Log'!$A$3:$A$2002,$A362,'Sales Log'!$B$3:$B$2002,B$2))</f>
        <v/>
      </c>
      <c r="C362" t="str">
        <f>IF(OR($A362="",C$2=""),"",SUMIFS('Sales Log'!$G$3:$G$2002,'Sales Log'!$A$3:$A$2002,$A362,'Sales Log'!$B$3:$B$2002,C$2))</f>
        <v/>
      </c>
      <c r="D362" t="str">
        <f>IF(OR($A362="",D$2=""),"",SUMIFS('Sales Log'!$G$3:$G$2002,'Sales Log'!$A$3:$A$2002,$A362,'Sales Log'!$B$3:$B$2002,D$2))</f>
        <v/>
      </c>
      <c r="E362" t="str">
        <f>IF(OR($A362="",E$2=""),"",SUMIFS('Sales Log'!$G$3:$G$2002,'Sales Log'!$A$3:$A$2002,$A362,'Sales Log'!$B$3:$B$2002,E$2))</f>
        <v/>
      </c>
      <c r="F362" t="str">
        <f t="shared" si="5"/>
        <v/>
      </c>
    </row>
    <row r="363" spans="2:6">
      <c r="B363" t="str">
        <f>IF(OR($A363="",B$2=""),"",SUMIFS('Sales Log'!$G$3:$G$2002,'Sales Log'!$A$3:$A$2002,$A363,'Sales Log'!$B$3:$B$2002,B$2))</f>
        <v/>
      </c>
      <c r="C363" t="str">
        <f>IF(OR($A363="",C$2=""),"",SUMIFS('Sales Log'!$G$3:$G$2002,'Sales Log'!$A$3:$A$2002,$A363,'Sales Log'!$B$3:$B$2002,C$2))</f>
        <v/>
      </c>
      <c r="D363" t="str">
        <f>IF(OR($A363="",D$2=""),"",SUMIFS('Sales Log'!$G$3:$G$2002,'Sales Log'!$A$3:$A$2002,$A363,'Sales Log'!$B$3:$B$2002,D$2))</f>
        <v/>
      </c>
      <c r="E363" t="str">
        <f>IF(OR($A363="",E$2=""),"",SUMIFS('Sales Log'!$G$3:$G$2002,'Sales Log'!$A$3:$A$2002,$A363,'Sales Log'!$B$3:$B$2002,E$2))</f>
        <v/>
      </c>
      <c r="F363" t="str">
        <f t="shared" si="5"/>
        <v/>
      </c>
    </row>
    <row r="364" spans="2:6">
      <c r="B364" t="str">
        <f>IF(OR($A364="",B$2=""),"",SUMIFS('Sales Log'!$G$3:$G$2002,'Sales Log'!$A$3:$A$2002,$A364,'Sales Log'!$B$3:$B$2002,B$2))</f>
        <v/>
      </c>
      <c r="C364" t="str">
        <f>IF(OR($A364="",C$2=""),"",SUMIFS('Sales Log'!$G$3:$G$2002,'Sales Log'!$A$3:$A$2002,$A364,'Sales Log'!$B$3:$B$2002,C$2))</f>
        <v/>
      </c>
      <c r="D364" t="str">
        <f>IF(OR($A364="",D$2=""),"",SUMIFS('Sales Log'!$G$3:$G$2002,'Sales Log'!$A$3:$A$2002,$A364,'Sales Log'!$B$3:$B$2002,D$2))</f>
        <v/>
      </c>
      <c r="E364" t="str">
        <f>IF(OR($A364="",E$2=""),"",SUMIFS('Sales Log'!$G$3:$G$2002,'Sales Log'!$A$3:$A$2002,$A364,'Sales Log'!$B$3:$B$2002,E$2))</f>
        <v/>
      </c>
      <c r="F364" t="str">
        <f t="shared" si="5"/>
        <v/>
      </c>
    </row>
    <row r="365" spans="2:6">
      <c r="B365" t="str">
        <f>IF(OR($A365="",B$2=""),"",SUMIFS('Sales Log'!$G$3:$G$2002,'Sales Log'!$A$3:$A$2002,$A365,'Sales Log'!$B$3:$B$2002,B$2))</f>
        <v/>
      </c>
      <c r="C365" t="str">
        <f>IF(OR($A365="",C$2=""),"",SUMIFS('Sales Log'!$G$3:$G$2002,'Sales Log'!$A$3:$A$2002,$A365,'Sales Log'!$B$3:$B$2002,C$2))</f>
        <v/>
      </c>
      <c r="D365" t="str">
        <f>IF(OR($A365="",D$2=""),"",SUMIFS('Sales Log'!$G$3:$G$2002,'Sales Log'!$A$3:$A$2002,$A365,'Sales Log'!$B$3:$B$2002,D$2))</f>
        <v/>
      </c>
      <c r="E365" t="str">
        <f>IF(OR($A365="",E$2=""),"",SUMIFS('Sales Log'!$G$3:$G$2002,'Sales Log'!$A$3:$A$2002,$A365,'Sales Log'!$B$3:$B$2002,E$2))</f>
        <v/>
      </c>
      <c r="F365" t="str">
        <f t="shared" si="5"/>
        <v/>
      </c>
    </row>
    <row r="366" spans="2:6">
      <c r="B366" t="str">
        <f>IF(OR($A366="",B$2=""),"",SUMIFS('Sales Log'!$G$3:$G$2002,'Sales Log'!$A$3:$A$2002,$A366,'Sales Log'!$B$3:$B$2002,B$2))</f>
        <v/>
      </c>
      <c r="C366" t="str">
        <f>IF(OR($A366="",C$2=""),"",SUMIFS('Sales Log'!$G$3:$G$2002,'Sales Log'!$A$3:$A$2002,$A366,'Sales Log'!$B$3:$B$2002,C$2))</f>
        <v/>
      </c>
      <c r="D366" t="str">
        <f>IF(OR($A366="",D$2=""),"",SUMIFS('Sales Log'!$G$3:$G$2002,'Sales Log'!$A$3:$A$2002,$A366,'Sales Log'!$B$3:$B$2002,D$2))</f>
        <v/>
      </c>
      <c r="E366" t="str">
        <f>IF(OR($A366="",E$2=""),"",SUMIFS('Sales Log'!$G$3:$G$2002,'Sales Log'!$A$3:$A$2002,$A366,'Sales Log'!$B$3:$B$2002,E$2))</f>
        <v/>
      </c>
      <c r="F366" t="str">
        <f t="shared" si="5"/>
        <v/>
      </c>
    </row>
    <row r="367" spans="2:6">
      <c r="B367" t="str">
        <f>IF(OR($A367="",B$2=""),"",SUMIFS('Sales Log'!$G$3:$G$2002,'Sales Log'!$A$3:$A$2002,$A367,'Sales Log'!$B$3:$B$2002,B$2))</f>
        <v/>
      </c>
      <c r="C367" t="str">
        <f>IF(OR($A367="",C$2=""),"",SUMIFS('Sales Log'!$G$3:$G$2002,'Sales Log'!$A$3:$A$2002,$A367,'Sales Log'!$B$3:$B$2002,C$2))</f>
        <v/>
      </c>
      <c r="D367" t="str">
        <f>IF(OR($A367="",D$2=""),"",SUMIFS('Sales Log'!$G$3:$G$2002,'Sales Log'!$A$3:$A$2002,$A367,'Sales Log'!$B$3:$B$2002,D$2))</f>
        <v/>
      </c>
      <c r="E367" t="str">
        <f>IF(OR($A367="",E$2=""),"",SUMIFS('Sales Log'!$G$3:$G$2002,'Sales Log'!$A$3:$A$2002,$A367,'Sales Log'!$B$3:$B$2002,E$2))</f>
        <v/>
      </c>
      <c r="F367" t="str">
        <f t="shared" si="5"/>
        <v/>
      </c>
    </row>
  </sheetData>
  <sheetProtection password="EF81" sheet="1"/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D26"/>
  <sheetViews>
    <sheetView workbookViewId="0">
      <selection sqref="A1:D1"/>
    </sheetView>
  </sheetViews>
  <sheetFormatPr defaultRowHeight="14.4"/>
  <cols>
    <col min="1" max="1" width="32" style="30" customWidth="1"/>
    <col min="2" max="3" width="4" style="30" customWidth="1"/>
    <col min="4" max="4" width="18" style="30" customWidth="1"/>
  </cols>
  <sheetData>
    <row r="1" spans="1:4" ht="15.6" customHeight="1">
      <c r="A1" s="49" t="s">
        <v>230</v>
      </c>
      <c r="B1" s="46"/>
      <c r="C1" s="46"/>
      <c r="D1" s="46"/>
    </row>
    <row r="2" spans="1:4">
      <c r="A2" s="1" t="s">
        <v>231</v>
      </c>
      <c r="C2" s="26">
        <v>46137</v>
      </c>
    </row>
    <row r="4" spans="1:4">
      <c r="A4" s="51" t="s">
        <v>232</v>
      </c>
      <c r="B4" s="46"/>
      <c r="C4" s="46"/>
      <c r="D4" s="4" t="s">
        <v>233</v>
      </c>
    </row>
    <row r="5" spans="1:4">
      <c r="A5" t="s">
        <v>234</v>
      </c>
      <c r="D5" s="3">
        <v>0</v>
      </c>
    </row>
    <row r="6" spans="1:4">
      <c r="A6" t="s">
        <v>235</v>
      </c>
      <c r="D6" s="3">
        <v>0</v>
      </c>
    </row>
    <row r="7" spans="1:4">
      <c r="A7" s="51" t="s">
        <v>236</v>
      </c>
      <c r="B7" s="46"/>
      <c r="C7" s="46"/>
      <c r="D7" s="4" t="s">
        <v>233</v>
      </c>
    </row>
    <row r="8" spans="1:4">
      <c r="A8" t="s">
        <v>237</v>
      </c>
      <c r="D8" s="3">
        <v>0</v>
      </c>
    </row>
    <row r="9" spans="1:4">
      <c r="A9" t="s">
        <v>238</v>
      </c>
      <c r="D9" s="3">
        <v>0</v>
      </c>
    </row>
    <row r="10" spans="1:4">
      <c r="A10" t="s">
        <v>239</v>
      </c>
      <c r="D10" s="3">
        <v>0</v>
      </c>
    </row>
    <row r="11" spans="1:4">
      <c r="A11" t="s">
        <v>240</v>
      </c>
      <c r="D11" s="3">
        <v>0</v>
      </c>
    </row>
    <row r="12" spans="1:4">
      <c r="A12" t="s">
        <v>241</v>
      </c>
      <c r="D12" s="3">
        <v>0</v>
      </c>
    </row>
    <row r="13" spans="1:4">
      <c r="A13" t="s">
        <v>242</v>
      </c>
      <c r="D13" s="3">
        <v>0</v>
      </c>
    </row>
    <row r="14" spans="1:4">
      <c r="A14" t="s">
        <v>243</v>
      </c>
      <c r="D14" s="3">
        <v>0</v>
      </c>
    </row>
    <row r="15" spans="1:4">
      <c r="A15" t="s">
        <v>244</v>
      </c>
      <c r="D15" s="3">
        <v>0</v>
      </c>
    </row>
    <row r="16" spans="1:4">
      <c r="A16" s="51" t="s">
        <v>245</v>
      </c>
      <c r="B16" s="46"/>
      <c r="C16" s="46"/>
      <c r="D16" s="4" t="s">
        <v>233</v>
      </c>
    </row>
    <row r="17" spans="1:4">
      <c r="A17" t="s">
        <v>246</v>
      </c>
      <c r="D17" s="3">
        <v>0</v>
      </c>
    </row>
    <row r="18" spans="1:4">
      <c r="A18" t="s">
        <v>247</v>
      </c>
      <c r="D18" s="3">
        <v>0</v>
      </c>
    </row>
    <row r="19" spans="1:4">
      <c r="A19" t="s">
        <v>248</v>
      </c>
      <c r="D19" s="3">
        <v>0</v>
      </c>
    </row>
    <row r="20" spans="1:4">
      <c r="A20" t="s">
        <v>249</v>
      </c>
      <c r="D20" s="3">
        <v>0</v>
      </c>
    </row>
    <row r="21" spans="1:4">
      <c r="A21" t="s">
        <v>250</v>
      </c>
      <c r="D21" s="3">
        <v>0</v>
      </c>
    </row>
    <row r="22" spans="1:4">
      <c r="A22" t="s">
        <v>251</v>
      </c>
      <c r="D22" s="3">
        <v>0</v>
      </c>
    </row>
    <row r="23" spans="1:4">
      <c r="A23" s="51" t="s">
        <v>252</v>
      </c>
      <c r="B23" s="46"/>
      <c r="C23" s="46"/>
      <c r="D23" s="4" t="s">
        <v>233</v>
      </c>
    </row>
    <row r="24" spans="1:4">
      <c r="A24" t="s">
        <v>253</v>
      </c>
      <c r="D24" s="10">
        <f>'Feed Inventory'!H8</f>
        <v>0</v>
      </c>
    </row>
    <row r="26" spans="1:4" ht="15.6" customHeight="1">
      <c r="A26" s="14" t="s">
        <v>254</v>
      </c>
      <c r="D26" s="15">
        <f>SUM(D5:D24)</f>
        <v>0</v>
      </c>
    </row>
  </sheetData>
  <mergeCells count="5">
    <mergeCell ref="A1:D1"/>
    <mergeCell ref="A23:C23"/>
    <mergeCell ref="A7:C7"/>
    <mergeCell ref="A4:C4"/>
    <mergeCell ref="A16:C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K23"/>
  <sheetViews>
    <sheetView workbookViewId="0">
      <selection sqref="A1:K1"/>
    </sheetView>
  </sheetViews>
  <sheetFormatPr defaultRowHeight="14.4"/>
  <cols>
    <col min="1" max="1" width="12" style="30" customWidth="1"/>
    <col min="2" max="4" width="14" style="30" customWidth="1"/>
    <col min="5" max="5" width="16" style="30" customWidth="1"/>
    <col min="6" max="6" width="14" style="30" customWidth="1"/>
    <col min="7" max="7" width="16" style="30" customWidth="1"/>
    <col min="8" max="9" width="18" style="30" customWidth="1"/>
    <col min="10" max="10" width="14" style="30" customWidth="1"/>
    <col min="11" max="11" width="12" style="30" customWidth="1"/>
  </cols>
  <sheetData>
    <row r="1" spans="1:11" ht="15.6" customHeight="1">
      <c r="A1" s="48" t="s">
        <v>255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>
      <c r="A2" s="4" t="s">
        <v>256</v>
      </c>
      <c r="B2" s="4" t="s">
        <v>257</v>
      </c>
      <c r="C2" s="4" t="s">
        <v>258</v>
      </c>
      <c r="D2" s="4" t="s">
        <v>259</v>
      </c>
      <c r="E2" s="4" t="s">
        <v>260</v>
      </c>
      <c r="F2" s="4" t="s">
        <v>261</v>
      </c>
      <c r="G2" s="4" t="s">
        <v>262</v>
      </c>
      <c r="H2" s="4" t="s">
        <v>263</v>
      </c>
      <c r="I2" s="4" t="s">
        <v>264</v>
      </c>
      <c r="J2" s="4" t="s">
        <v>265</v>
      </c>
      <c r="K2" s="4" t="s">
        <v>266</v>
      </c>
    </row>
    <row r="3" spans="1:11">
      <c r="A3" t="s">
        <v>267</v>
      </c>
      <c r="B3" s="10">
        <v>116613.5</v>
      </c>
      <c r="C3" s="10">
        <v>99443</v>
      </c>
      <c r="D3" s="10">
        <f t="shared" ref="D3:D23" si="0">B3-C3</f>
        <v>17170.5</v>
      </c>
      <c r="E3" s="10">
        <v>3640</v>
      </c>
      <c r="F3" s="10">
        <f t="shared" ref="F3:F23" si="1">D3-E3</f>
        <v>13530.5</v>
      </c>
      <c r="G3" s="10">
        <v>0</v>
      </c>
      <c r="H3" t="s">
        <v>268</v>
      </c>
      <c r="I3" t="s">
        <v>268</v>
      </c>
      <c r="J3" t="s">
        <v>268</v>
      </c>
      <c r="K3" t="str">
        <f t="shared" ref="K3:K23" si="2">IF(F3&gt;0,"GROWING",IF(F3=0,"FLAT","DECLINING"))</f>
        <v>GROWING</v>
      </c>
    </row>
    <row r="4" spans="1:11">
      <c r="A4" t="s">
        <v>269</v>
      </c>
      <c r="B4" s="10">
        <v>0</v>
      </c>
      <c r="C4" s="10">
        <v>0</v>
      </c>
      <c r="D4" s="10">
        <f t="shared" si="0"/>
        <v>0</v>
      </c>
      <c r="E4" s="10">
        <v>0</v>
      </c>
      <c r="F4" s="10">
        <f t="shared" si="1"/>
        <v>0</v>
      </c>
      <c r="G4" s="10">
        <v>0</v>
      </c>
      <c r="K4" t="str">
        <f t="shared" si="2"/>
        <v>FLAT</v>
      </c>
    </row>
    <row r="5" spans="1:11">
      <c r="A5" t="s">
        <v>270</v>
      </c>
      <c r="B5" s="10">
        <v>0</v>
      </c>
      <c r="C5" s="10">
        <v>0</v>
      </c>
      <c r="D5" s="10">
        <f t="shared" si="0"/>
        <v>0</v>
      </c>
      <c r="E5" s="10">
        <v>0</v>
      </c>
      <c r="F5" s="10">
        <f t="shared" si="1"/>
        <v>0</v>
      </c>
      <c r="G5" s="10">
        <v>0</v>
      </c>
      <c r="K5" t="str">
        <f t="shared" si="2"/>
        <v>FLAT</v>
      </c>
    </row>
    <row r="6" spans="1:11">
      <c r="A6" t="s">
        <v>271</v>
      </c>
      <c r="B6" s="10">
        <v>0</v>
      </c>
      <c r="C6" s="10">
        <v>0</v>
      </c>
      <c r="D6" s="10">
        <f t="shared" si="0"/>
        <v>0</v>
      </c>
      <c r="E6" s="10">
        <v>0</v>
      </c>
      <c r="F6" s="10">
        <f t="shared" si="1"/>
        <v>0</v>
      </c>
      <c r="G6" s="10">
        <v>0</v>
      </c>
      <c r="K6" t="str">
        <f t="shared" si="2"/>
        <v>FLAT</v>
      </c>
    </row>
    <row r="7" spans="1:11">
      <c r="A7" t="s">
        <v>272</v>
      </c>
      <c r="B7" s="10">
        <v>0</v>
      </c>
      <c r="C7" s="10">
        <v>0</v>
      </c>
      <c r="D7" s="10">
        <f t="shared" si="0"/>
        <v>0</v>
      </c>
      <c r="E7" s="10">
        <v>0</v>
      </c>
      <c r="F7" s="10">
        <f t="shared" si="1"/>
        <v>0</v>
      </c>
      <c r="G7" s="10">
        <v>0</v>
      </c>
      <c r="K7" t="str">
        <f t="shared" si="2"/>
        <v>FLAT</v>
      </c>
    </row>
    <row r="8" spans="1:11">
      <c r="A8" t="s">
        <v>273</v>
      </c>
      <c r="B8" s="10">
        <v>0</v>
      </c>
      <c r="C8" s="10">
        <v>0</v>
      </c>
      <c r="D8" s="10">
        <f t="shared" si="0"/>
        <v>0</v>
      </c>
      <c r="E8" s="10">
        <v>0</v>
      </c>
      <c r="F8" s="10">
        <f t="shared" si="1"/>
        <v>0</v>
      </c>
      <c r="G8" s="10">
        <v>0</v>
      </c>
      <c r="K8" t="str">
        <f t="shared" si="2"/>
        <v>FLAT</v>
      </c>
    </row>
    <row r="9" spans="1:11">
      <c r="A9" t="s">
        <v>274</v>
      </c>
      <c r="B9" s="10">
        <v>0</v>
      </c>
      <c r="C9" s="10">
        <v>0</v>
      </c>
      <c r="D9" s="10">
        <f t="shared" si="0"/>
        <v>0</v>
      </c>
      <c r="E9" s="10">
        <v>0</v>
      </c>
      <c r="F9" s="10">
        <f t="shared" si="1"/>
        <v>0</v>
      </c>
      <c r="G9" s="10">
        <v>0</v>
      </c>
      <c r="K9" t="str">
        <f t="shared" si="2"/>
        <v>FLAT</v>
      </c>
    </row>
    <row r="10" spans="1:11">
      <c r="A10" t="s">
        <v>275</v>
      </c>
      <c r="B10" s="10">
        <v>0</v>
      </c>
      <c r="C10" s="10">
        <v>0</v>
      </c>
      <c r="D10" s="10">
        <f t="shared" si="0"/>
        <v>0</v>
      </c>
      <c r="E10" s="10">
        <v>0</v>
      </c>
      <c r="F10" s="10">
        <f t="shared" si="1"/>
        <v>0</v>
      </c>
      <c r="G10" s="10">
        <v>0</v>
      </c>
      <c r="K10" t="str">
        <f t="shared" si="2"/>
        <v>FLAT</v>
      </c>
    </row>
    <row r="11" spans="1:11">
      <c r="A11" t="s">
        <v>276</v>
      </c>
      <c r="B11" s="10">
        <v>0</v>
      </c>
      <c r="C11" s="10">
        <v>0</v>
      </c>
      <c r="D11" s="10">
        <f t="shared" si="0"/>
        <v>0</v>
      </c>
      <c r="E11" s="10">
        <v>0</v>
      </c>
      <c r="F11" s="10">
        <f t="shared" si="1"/>
        <v>0</v>
      </c>
      <c r="G11" s="10">
        <v>0</v>
      </c>
      <c r="K11" t="str">
        <f t="shared" si="2"/>
        <v>FLAT</v>
      </c>
    </row>
    <row r="12" spans="1:11">
      <c r="A12" t="s">
        <v>277</v>
      </c>
      <c r="B12" s="10">
        <v>0</v>
      </c>
      <c r="C12" s="10">
        <v>0</v>
      </c>
      <c r="D12" s="10">
        <f t="shared" si="0"/>
        <v>0</v>
      </c>
      <c r="E12" s="10">
        <v>0</v>
      </c>
      <c r="F12" s="10">
        <f t="shared" si="1"/>
        <v>0</v>
      </c>
      <c r="G12" s="10">
        <v>0</v>
      </c>
      <c r="K12" t="str">
        <f t="shared" si="2"/>
        <v>FLAT</v>
      </c>
    </row>
    <row r="13" spans="1:11">
      <c r="A13" t="s">
        <v>278</v>
      </c>
      <c r="B13" s="10">
        <v>0</v>
      </c>
      <c r="C13" s="10">
        <v>0</v>
      </c>
      <c r="D13" s="10">
        <f t="shared" si="0"/>
        <v>0</v>
      </c>
      <c r="E13" s="10">
        <v>0</v>
      </c>
      <c r="F13" s="10">
        <f t="shared" si="1"/>
        <v>0</v>
      </c>
      <c r="G13" s="10">
        <v>0</v>
      </c>
      <c r="K13" t="str">
        <f t="shared" si="2"/>
        <v>FLAT</v>
      </c>
    </row>
    <row r="14" spans="1:11">
      <c r="A14" t="s">
        <v>279</v>
      </c>
      <c r="B14" s="10">
        <v>0</v>
      </c>
      <c r="C14" s="10">
        <v>0</v>
      </c>
      <c r="D14" s="10">
        <f t="shared" si="0"/>
        <v>0</v>
      </c>
      <c r="E14" s="10">
        <v>0</v>
      </c>
      <c r="F14" s="10">
        <f t="shared" si="1"/>
        <v>0</v>
      </c>
      <c r="G14" s="10">
        <v>0</v>
      </c>
      <c r="K14" t="str">
        <f t="shared" si="2"/>
        <v>FLAT</v>
      </c>
    </row>
    <row r="15" spans="1:11">
      <c r="A15" t="s">
        <v>280</v>
      </c>
      <c r="B15" s="10"/>
      <c r="C15" s="10"/>
      <c r="D15" s="10">
        <f t="shared" si="0"/>
        <v>0</v>
      </c>
      <c r="E15" s="10"/>
      <c r="F15" s="10">
        <f t="shared" si="1"/>
        <v>0</v>
      </c>
      <c r="G15" s="10"/>
      <c r="K15" t="str">
        <f t="shared" si="2"/>
        <v>FLAT</v>
      </c>
    </row>
    <row r="16" spans="1:11">
      <c r="A16" t="s">
        <v>281</v>
      </c>
      <c r="B16" s="10"/>
      <c r="C16" s="10"/>
      <c r="D16" s="10">
        <f t="shared" si="0"/>
        <v>0</v>
      </c>
      <c r="E16" s="10"/>
      <c r="F16" s="10">
        <f t="shared" si="1"/>
        <v>0</v>
      </c>
      <c r="G16" s="10"/>
      <c r="K16" t="str">
        <f t="shared" si="2"/>
        <v>FLAT</v>
      </c>
    </row>
    <row r="17" spans="1:11">
      <c r="A17" t="s">
        <v>282</v>
      </c>
      <c r="B17" s="10"/>
      <c r="C17" s="10"/>
      <c r="D17" s="10">
        <f t="shared" si="0"/>
        <v>0</v>
      </c>
      <c r="E17" s="10"/>
      <c r="F17" s="10">
        <f t="shared" si="1"/>
        <v>0</v>
      </c>
      <c r="G17" s="10"/>
      <c r="K17" t="str">
        <f t="shared" si="2"/>
        <v>FLAT</v>
      </c>
    </row>
    <row r="18" spans="1:11">
      <c r="A18" t="s">
        <v>283</v>
      </c>
      <c r="B18" s="10"/>
      <c r="C18" s="10"/>
      <c r="D18" s="10">
        <f t="shared" si="0"/>
        <v>0</v>
      </c>
      <c r="E18" s="10"/>
      <c r="F18" s="10">
        <f t="shared" si="1"/>
        <v>0</v>
      </c>
      <c r="G18" s="10"/>
      <c r="K18" t="str">
        <f t="shared" si="2"/>
        <v>FLAT</v>
      </c>
    </row>
    <row r="19" spans="1:11">
      <c r="A19" t="s">
        <v>284</v>
      </c>
      <c r="B19" s="10"/>
      <c r="C19" s="10"/>
      <c r="D19" s="10">
        <f t="shared" si="0"/>
        <v>0</v>
      </c>
      <c r="E19" s="10"/>
      <c r="F19" s="10">
        <f t="shared" si="1"/>
        <v>0</v>
      </c>
      <c r="G19" s="10"/>
      <c r="K19" t="str">
        <f t="shared" si="2"/>
        <v>FLAT</v>
      </c>
    </row>
    <row r="20" spans="1:11">
      <c r="A20" t="s">
        <v>285</v>
      </c>
      <c r="B20" s="10"/>
      <c r="C20" s="10"/>
      <c r="D20" s="10">
        <f t="shared" si="0"/>
        <v>0</v>
      </c>
      <c r="E20" s="10"/>
      <c r="F20" s="10">
        <f t="shared" si="1"/>
        <v>0</v>
      </c>
      <c r="G20" s="10"/>
      <c r="K20" t="str">
        <f t="shared" si="2"/>
        <v>FLAT</v>
      </c>
    </row>
    <row r="21" spans="1:11">
      <c r="A21" t="s">
        <v>286</v>
      </c>
      <c r="B21" s="10"/>
      <c r="C21" s="10"/>
      <c r="D21" s="10">
        <f t="shared" si="0"/>
        <v>0</v>
      </c>
      <c r="E21" s="10"/>
      <c r="F21" s="10">
        <f t="shared" si="1"/>
        <v>0</v>
      </c>
      <c r="G21" s="10"/>
      <c r="K21" t="str">
        <f t="shared" si="2"/>
        <v>FLAT</v>
      </c>
    </row>
    <row r="22" spans="1:11">
      <c r="A22" t="s">
        <v>287</v>
      </c>
      <c r="B22" s="10"/>
      <c r="C22" s="10"/>
      <c r="D22" s="10">
        <f t="shared" si="0"/>
        <v>0</v>
      </c>
      <c r="E22" s="10"/>
      <c r="F22" s="10">
        <f t="shared" si="1"/>
        <v>0</v>
      </c>
      <c r="G22" s="10"/>
      <c r="K22" t="str">
        <f t="shared" si="2"/>
        <v>FLAT</v>
      </c>
    </row>
    <row r="23" spans="1:11">
      <c r="A23" t="s">
        <v>288</v>
      </c>
      <c r="B23" s="10"/>
      <c r="C23" s="10"/>
      <c r="D23" s="10">
        <f t="shared" si="0"/>
        <v>0</v>
      </c>
      <c r="E23" s="10"/>
      <c r="F23" s="10">
        <f t="shared" si="1"/>
        <v>0</v>
      </c>
      <c r="G23" s="10"/>
      <c r="K23" t="str">
        <f t="shared" si="2"/>
        <v>FLAT</v>
      </c>
    </row>
  </sheetData>
  <sheetProtection password="EF81" sheet="1"/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B28"/>
  <sheetViews>
    <sheetView workbookViewId="0">
      <selection sqref="A1:B1"/>
    </sheetView>
  </sheetViews>
  <sheetFormatPr defaultRowHeight="14.4"/>
  <cols>
    <col min="1" max="1" width="28" style="30" customWidth="1"/>
    <col min="2" max="2" width="70" style="30" customWidth="1"/>
  </cols>
  <sheetData>
    <row r="1" spans="1:2" ht="17.399999999999999" customHeight="1">
      <c r="A1" s="45" t="s">
        <v>289</v>
      </c>
      <c r="B1" s="46"/>
    </row>
    <row r="2" spans="1:2">
      <c r="A2" s="1" t="s">
        <v>290</v>
      </c>
    </row>
    <row r="3" spans="1:2">
      <c r="A3" s="13" t="s">
        <v>291</v>
      </c>
      <c r="B3" t="s">
        <v>292</v>
      </c>
    </row>
    <row r="4" spans="1:2">
      <c r="A4" s="13" t="s">
        <v>293</v>
      </c>
      <c r="B4" t="s">
        <v>294</v>
      </c>
    </row>
    <row r="5" spans="1:2">
      <c r="A5" s="13" t="s">
        <v>295</v>
      </c>
      <c r="B5" t="s">
        <v>296</v>
      </c>
    </row>
    <row r="6" spans="1:2">
      <c r="A6" s="13" t="s">
        <v>297</v>
      </c>
      <c r="B6" t="s">
        <v>298</v>
      </c>
    </row>
    <row r="7" spans="1:2">
      <c r="A7" s="13" t="s">
        <v>299</v>
      </c>
      <c r="B7" t="s">
        <v>300</v>
      </c>
    </row>
    <row r="8" spans="1:2">
      <c r="A8" s="1"/>
    </row>
    <row r="9" spans="1:2">
      <c r="A9" s="1" t="s">
        <v>301</v>
      </c>
    </row>
    <row r="10" spans="1:2">
      <c r="A10" s="13" t="s">
        <v>302</v>
      </c>
      <c r="B10" t="s">
        <v>303</v>
      </c>
    </row>
    <row r="11" spans="1:2">
      <c r="A11" s="13" t="s">
        <v>304</v>
      </c>
      <c r="B11" t="s">
        <v>305</v>
      </c>
    </row>
    <row r="12" spans="1:2">
      <c r="A12" s="13" t="s">
        <v>306</v>
      </c>
      <c r="B12" t="s">
        <v>307</v>
      </c>
    </row>
    <row r="13" spans="1:2">
      <c r="A13" s="13" t="s">
        <v>308</v>
      </c>
      <c r="B13" t="s">
        <v>309</v>
      </c>
    </row>
    <row r="14" spans="1:2">
      <c r="A14" s="13" t="s">
        <v>310</v>
      </c>
      <c r="B14" t="s">
        <v>311</v>
      </c>
    </row>
    <row r="15" spans="1:2">
      <c r="A15" s="13" t="s">
        <v>312</v>
      </c>
      <c r="B15" t="s">
        <v>313</v>
      </c>
    </row>
    <row r="16" spans="1:2">
      <c r="A16" s="13" t="s">
        <v>314</v>
      </c>
      <c r="B16" t="s">
        <v>315</v>
      </c>
    </row>
    <row r="17" spans="1:2">
      <c r="A17" s="13" t="s">
        <v>316</v>
      </c>
      <c r="B17" t="s">
        <v>317</v>
      </c>
    </row>
    <row r="18" spans="1:2">
      <c r="A18" s="13" t="s">
        <v>318</v>
      </c>
      <c r="B18" t="s">
        <v>319</v>
      </c>
    </row>
    <row r="19" spans="1:2">
      <c r="A19" s="13" t="s">
        <v>320</v>
      </c>
      <c r="B19" t="s">
        <v>321</v>
      </c>
    </row>
    <row r="20" spans="1:2">
      <c r="A20" s="13" t="s">
        <v>322</v>
      </c>
      <c r="B20" t="s">
        <v>323</v>
      </c>
    </row>
    <row r="21" spans="1:2">
      <c r="A21" s="13" t="s">
        <v>324</v>
      </c>
      <c r="B21" t="s">
        <v>325</v>
      </c>
    </row>
    <row r="22" spans="1:2">
      <c r="A22" s="13" t="s">
        <v>326</v>
      </c>
      <c r="B22" t="s">
        <v>327</v>
      </c>
    </row>
    <row r="23" spans="1:2">
      <c r="A23" s="13" t="s">
        <v>328</v>
      </c>
      <c r="B23" t="s">
        <v>329</v>
      </c>
    </row>
    <row r="24" spans="1:2">
      <c r="A24" s="13" t="s">
        <v>330</v>
      </c>
      <c r="B24" t="s">
        <v>331</v>
      </c>
    </row>
    <row r="25" spans="1:2">
      <c r="A25" s="13" t="s">
        <v>332</v>
      </c>
      <c r="B25" t="s">
        <v>333</v>
      </c>
    </row>
    <row r="26" spans="1:2">
      <c r="A26" s="13" t="s">
        <v>334</v>
      </c>
      <c r="B26" t="s">
        <v>335</v>
      </c>
    </row>
    <row r="27" spans="1:2">
      <c r="A27" s="13" t="s">
        <v>336</v>
      </c>
      <c r="B27" t="s">
        <v>337</v>
      </c>
    </row>
    <row r="28" spans="1:2">
      <c r="A28" s="13" t="s">
        <v>338</v>
      </c>
      <c r="B28" t="s">
        <v>339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Control Panel</vt:lpstr>
      <vt:lpstr>Setup</vt:lpstr>
      <vt:lpstr>Chart of Accounts</vt:lpstr>
      <vt:lpstr>Purchases</vt:lpstr>
      <vt:lpstr>Sales Log</vt:lpstr>
      <vt:lpstr>Stock Summary</vt:lpstr>
      <vt:lpstr>Farm Costs</vt:lpstr>
      <vt:lpstr>Egg Transfers</vt:lpstr>
      <vt:lpstr>Shop Expenses</vt:lpstr>
      <vt:lpstr>Payroll</vt:lpstr>
      <vt:lpstr>Cash &amp; Bank</vt:lpstr>
      <vt:lpstr>Feed Inventory</vt:lpstr>
      <vt:lpstr>Shop Profitability</vt:lpstr>
      <vt:lpstr>Monthly Summary</vt:lpstr>
      <vt:lpstr>Loans</vt:lpstr>
      <vt:lpstr>Income Statement</vt:lpstr>
      <vt:lpstr>Balance Sheet</vt:lpstr>
      <vt:lpstr>Daily Shop Sales</vt:lpstr>
      <vt:lpstr>Daily Valuation</vt:lpstr>
      <vt:lpstr>Growth Tracker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2026-04-25T15:59:08Z</dcterms:created>
  <dcterms:modified xsi:type="dcterms:W3CDTF">2026-05-04T22:19:27Z</dcterms:modified>
</cp:coreProperties>
</file>